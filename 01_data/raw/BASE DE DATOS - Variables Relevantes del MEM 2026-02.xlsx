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Variables Relevantes/VR LINEAMIENTOS/"/>
    </mc:Choice>
  </mc:AlternateContent>
  <xr:revisionPtr revIDLastSave="1077" documentId="8_{394A4766-FF76-49AA-AFA3-6960D65080F2}" xr6:coauthVersionLast="47" xr6:coauthVersionMax="47" xr10:uidLastSave="{CCB2BF5A-210E-4951-991B-E6E3FC84B9A6}"/>
  <bookViews>
    <workbookView xWindow="-120" yWindow="-120" windowWidth="29040" windowHeight="15720" xr2:uid="{5171CA50-3B83-4BB9-8C48-D55D9F2A3AD5}"/>
  </bookViews>
  <sheets>
    <sheet name="Aclaración" sheetId="2" r:id="rId1"/>
    <sheet name="Base de Datos" sheetId="1" r:id="rId2"/>
    <sheet name="Detalle Demanda Estacional" sheetId="3" r:id="rId3"/>
  </sheets>
  <definedNames>
    <definedName name="_xlnm._FilterDatabase" localSheetId="1" hidden="1">'Base de Datos'!$A$5:$CY$103</definedName>
    <definedName name="SEMAN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8" i="3" l="1"/>
  <c r="AM68" i="3"/>
  <c r="AM15" i="3"/>
  <c r="AM66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L3" i="3"/>
  <c r="AM3" i="3"/>
  <c r="B14" i="3"/>
  <c r="C14" i="3"/>
  <c r="C74" i="3" s="1"/>
  <c r="D14" i="3"/>
  <c r="E14" i="3"/>
  <c r="F14" i="3"/>
  <c r="G14" i="3"/>
  <c r="H14" i="3"/>
  <c r="I14" i="3"/>
  <c r="J14" i="3"/>
  <c r="K14" i="3"/>
  <c r="K74" i="3" s="1"/>
  <c r="L14" i="3"/>
  <c r="M14" i="3"/>
  <c r="N14" i="3"/>
  <c r="O14" i="3"/>
  <c r="P14" i="3"/>
  <c r="Q14" i="3"/>
  <c r="R14" i="3"/>
  <c r="S14" i="3"/>
  <c r="S74" i="3" s="1"/>
  <c r="T14" i="3"/>
  <c r="U14" i="3"/>
  <c r="V14" i="3"/>
  <c r="W14" i="3"/>
  <c r="X14" i="3"/>
  <c r="Y14" i="3"/>
  <c r="Z14" i="3"/>
  <c r="AA14" i="3"/>
  <c r="AA74" i="3" s="1"/>
  <c r="AB14" i="3"/>
  <c r="AC14" i="3"/>
  <c r="AD14" i="3"/>
  <c r="AE14" i="3"/>
  <c r="AF14" i="3"/>
  <c r="AG14" i="3"/>
  <c r="AH14" i="3"/>
  <c r="AI14" i="3"/>
  <c r="AI74" i="3" s="1"/>
  <c r="AJ14" i="3"/>
  <c r="AK14" i="3"/>
  <c r="AL14" i="3"/>
  <c r="B15" i="3"/>
  <c r="B18" i="3" s="1"/>
  <c r="C15" i="3"/>
  <c r="D15" i="3"/>
  <c r="E15" i="3"/>
  <c r="E18" i="3" s="1"/>
  <c r="E78" i="3" s="1"/>
  <c r="F15" i="3"/>
  <c r="G15" i="3"/>
  <c r="H15" i="3"/>
  <c r="I15" i="3"/>
  <c r="J15" i="3"/>
  <c r="J18" i="3" s="1"/>
  <c r="K15" i="3"/>
  <c r="L15" i="3"/>
  <c r="M15" i="3"/>
  <c r="M18" i="3" s="1"/>
  <c r="M78" i="3" s="1"/>
  <c r="N15" i="3"/>
  <c r="O15" i="3"/>
  <c r="P15" i="3"/>
  <c r="Q15" i="3"/>
  <c r="R15" i="3"/>
  <c r="R18" i="3" s="1"/>
  <c r="S15" i="3"/>
  <c r="T15" i="3"/>
  <c r="U15" i="3"/>
  <c r="U18" i="3" s="1"/>
  <c r="U78" i="3" s="1"/>
  <c r="V15" i="3"/>
  <c r="W15" i="3"/>
  <c r="X15" i="3"/>
  <c r="Y15" i="3"/>
  <c r="Z15" i="3"/>
  <c r="Z18" i="3" s="1"/>
  <c r="AA15" i="3"/>
  <c r="AB15" i="3"/>
  <c r="AC15" i="3"/>
  <c r="AC18" i="3" s="1"/>
  <c r="AD15" i="3"/>
  <c r="AE15" i="3"/>
  <c r="AF15" i="3"/>
  <c r="AG15" i="3"/>
  <c r="AH15" i="3"/>
  <c r="AH18" i="3" s="1"/>
  <c r="AH28" i="3" s="1"/>
  <c r="AI15" i="3"/>
  <c r="AJ15" i="3"/>
  <c r="AK15" i="3"/>
  <c r="AK18" i="3" s="1"/>
  <c r="AL15" i="3"/>
  <c r="B16" i="3"/>
  <c r="C16" i="3"/>
  <c r="D16" i="3"/>
  <c r="D18" i="3" s="1"/>
  <c r="E16" i="3"/>
  <c r="F16" i="3"/>
  <c r="G16" i="3"/>
  <c r="G76" i="3" s="1"/>
  <c r="H16" i="3"/>
  <c r="I16" i="3"/>
  <c r="J16" i="3"/>
  <c r="K16" i="3"/>
  <c r="L16" i="3"/>
  <c r="L18" i="3" s="1"/>
  <c r="M16" i="3"/>
  <c r="N16" i="3"/>
  <c r="O16" i="3"/>
  <c r="O76" i="3" s="1"/>
  <c r="P16" i="3"/>
  <c r="Q16" i="3"/>
  <c r="R16" i="3"/>
  <c r="S16" i="3"/>
  <c r="T16" i="3"/>
  <c r="T18" i="3" s="1"/>
  <c r="U16" i="3"/>
  <c r="V16" i="3"/>
  <c r="W16" i="3"/>
  <c r="W76" i="3" s="1"/>
  <c r="X16" i="3"/>
  <c r="Y16" i="3"/>
  <c r="Z16" i="3"/>
  <c r="AA16" i="3"/>
  <c r="AB16" i="3"/>
  <c r="AB18" i="3" s="1"/>
  <c r="AC16" i="3"/>
  <c r="AD16" i="3"/>
  <c r="AE16" i="3"/>
  <c r="AE76" i="3" s="1"/>
  <c r="AF16" i="3"/>
  <c r="AG16" i="3"/>
  <c r="AH16" i="3"/>
  <c r="AI16" i="3"/>
  <c r="AJ16" i="3"/>
  <c r="AJ18" i="3" s="1"/>
  <c r="AJ28" i="3" s="1"/>
  <c r="AK16" i="3"/>
  <c r="AL16" i="3"/>
  <c r="AM16" i="3"/>
  <c r="B17" i="3"/>
  <c r="C17" i="3"/>
  <c r="D17" i="3"/>
  <c r="E17" i="3"/>
  <c r="F17" i="3"/>
  <c r="F18" i="3" s="1"/>
  <c r="G17" i="3"/>
  <c r="H17" i="3"/>
  <c r="I17" i="3"/>
  <c r="I77" i="3" s="1"/>
  <c r="J17" i="3"/>
  <c r="K17" i="3"/>
  <c r="L17" i="3"/>
  <c r="M17" i="3"/>
  <c r="N17" i="3"/>
  <c r="O17" i="3"/>
  <c r="P17" i="3"/>
  <c r="Q17" i="3"/>
  <c r="Q77" i="3" s="1"/>
  <c r="R17" i="3"/>
  <c r="S17" i="3"/>
  <c r="T17" i="3"/>
  <c r="U17" i="3"/>
  <c r="V17" i="3"/>
  <c r="W17" i="3"/>
  <c r="X17" i="3"/>
  <c r="Y17" i="3"/>
  <c r="Y77" i="3" s="1"/>
  <c r="Z17" i="3"/>
  <c r="AA17" i="3"/>
  <c r="AB17" i="3"/>
  <c r="AC17" i="3"/>
  <c r="AD17" i="3"/>
  <c r="AE17" i="3"/>
  <c r="AF17" i="3"/>
  <c r="AG17" i="3"/>
  <c r="AG77" i="3" s="1"/>
  <c r="AH17" i="3"/>
  <c r="AI17" i="3"/>
  <c r="AJ17" i="3"/>
  <c r="AK17" i="3"/>
  <c r="AL17" i="3"/>
  <c r="AM17" i="3"/>
  <c r="AM77" i="3" s="1"/>
  <c r="C18" i="3"/>
  <c r="H18" i="3"/>
  <c r="K18" i="3"/>
  <c r="N18" i="3"/>
  <c r="P18" i="3"/>
  <c r="V18" i="3"/>
  <c r="X18" i="3"/>
  <c r="AA18" i="3"/>
  <c r="AD18" i="3"/>
  <c r="AF18" i="3"/>
  <c r="AI18" i="3"/>
  <c r="AL18" i="3"/>
  <c r="C24" i="3"/>
  <c r="D24" i="3"/>
  <c r="E24" i="3"/>
  <c r="F24" i="3"/>
  <c r="F84" i="3" s="1"/>
  <c r="G24" i="3"/>
  <c r="H24" i="3"/>
  <c r="I24" i="3"/>
  <c r="J24" i="3"/>
  <c r="K24" i="3"/>
  <c r="L24" i="3"/>
  <c r="M24" i="3"/>
  <c r="N24" i="3"/>
  <c r="N84" i="3" s="1"/>
  <c r="O24" i="3"/>
  <c r="P24" i="3"/>
  <c r="Q24" i="3"/>
  <c r="R24" i="3"/>
  <c r="S24" i="3"/>
  <c r="T24" i="3"/>
  <c r="U24" i="3"/>
  <c r="V24" i="3"/>
  <c r="V84" i="3" s="1"/>
  <c r="W24" i="3"/>
  <c r="X24" i="3"/>
  <c r="Y24" i="3"/>
  <c r="Z24" i="3"/>
  <c r="AA24" i="3"/>
  <c r="AB24" i="3"/>
  <c r="AC24" i="3"/>
  <c r="AD24" i="3"/>
  <c r="AD28" i="3" s="1"/>
  <c r="AE24" i="3"/>
  <c r="AF24" i="3"/>
  <c r="AG24" i="3"/>
  <c r="AH24" i="3"/>
  <c r="AI24" i="3"/>
  <c r="AJ24" i="3"/>
  <c r="AK24" i="3"/>
  <c r="AL24" i="3"/>
  <c r="AF27" i="3"/>
  <c r="AG27" i="3"/>
  <c r="AH27" i="3"/>
  <c r="AI27" i="3"/>
  <c r="AJ27" i="3"/>
  <c r="AK27" i="3"/>
  <c r="AL27" i="3"/>
  <c r="AL28" i="3" s="1"/>
  <c r="AM27" i="3"/>
  <c r="AF28" i="3"/>
  <c r="AI28" i="3"/>
  <c r="Z31" i="3"/>
  <c r="AA31" i="3"/>
  <c r="AB31" i="3"/>
  <c r="AC31" i="3"/>
  <c r="AD31" i="3"/>
  <c r="AE31" i="3"/>
  <c r="AF31" i="3"/>
  <c r="AG31" i="3"/>
  <c r="AH31" i="3"/>
  <c r="AI31" i="3"/>
  <c r="AJ31" i="3"/>
  <c r="B42" i="3"/>
  <c r="B74" i="3" s="1"/>
  <c r="C42" i="3"/>
  <c r="D42" i="3"/>
  <c r="E42" i="3"/>
  <c r="F42" i="3"/>
  <c r="G42" i="3"/>
  <c r="H42" i="3"/>
  <c r="I42" i="3"/>
  <c r="J42" i="3"/>
  <c r="J74" i="3" s="1"/>
  <c r="K42" i="3"/>
  <c r="L42" i="3"/>
  <c r="M42" i="3"/>
  <c r="N42" i="3"/>
  <c r="O42" i="3"/>
  <c r="P42" i="3"/>
  <c r="Q42" i="3"/>
  <c r="R42" i="3"/>
  <c r="R74" i="3" s="1"/>
  <c r="S42" i="3"/>
  <c r="T42" i="3"/>
  <c r="U42" i="3"/>
  <c r="V42" i="3"/>
  <c r="W42" i="3"/>
  <c r="X42" i="3"/>
  <c r="Y42" i="3"/>
  <c r="Z42" i="3"/>
  <c r="Z74" i="3" s="1"/>
  <c r="AA42" i="3"/>
  <c r="AB42" i="3"/>
  <c r="AC42" i="3"/>
  <c r="AD42" i="3"/>
  <c r="AE42" i="3"/>
  <c r="AF42" i="3"/>
  <c r="AG42" i="3"/>
  <c r="AH42" i="3"/>
  <c r="AH74" i="3" s="1"/>
  <c r="AI42" i="3"/>
  <c r="AJ42" i="3"/>
  <c r="AK42" i="3"/>
  <c r="AL42" i="3"/>
  <c r="AM42" i="3"/>
  <c r="B43" i="3"/>
  <c r="C43" i="3"/>
  <c r="D43" i="3"/>
  <c r="D46" i="3" s="1"/>
  <c r="D78" i="3" s="1"/>
  <c r="E43" i="3"/>
  <c r="F43" i="3"/>
  <c r="G43" i="3"/>
  <c r="H43" i="3"/>
  <c r="I43" i="3"/>
  <c r="I46" i="3" s="1"/>
  <c r="J43" i="3"/>
  <c r="K43" i="3"/>
  <c r="L43" i="3"/>
  <c r="L46" i="3" s="1"/>
  <c r="L78" i="3" s="1"/>
  <c r="M43" i="3"/>
  <c r="N43" i="3"/>
  <c r="O43" i="3"/>
  <c r="P43" i="3"/>
  <c r="Q43" i="3"/>
  <c r="Q46" i="3" s="1"/>
  <c r="R43" i="3"/>
  <c r="S43" i="3"/>
  <c r="T43" i="3"/>
  <c r="T46" i="3" s="1"/>
  <c r="T78" i="3" s="1"/>
  <c r="U43" i="3"/>
  <c r="V43" i="3"/>
  <c r="W43" i="3"/>
  <c r="X43" i="3"/>
  <c r="Y43" i="3"/>
  <c r="Y46" i="3" s="1"/>
  <c r="Z43" i="3"/>
  <c r="AA43" i="3"/>
  <c r="AB43" i="3"/>
  <c r="AB46" i="3" s="1"/>
  <c r="AB78" i="3" s="1"/>
  <c r="AC43" i="3"/>
  <c r="AD43" i="3"/>
  <c r="AE43" i="3"/>
  <c r="AF43" i="3"/>
  <c r="AG43" i="3"/>
  <c r="AG46" i="3" s="1"/>
  <c r="AH43" i="3"/>
  <c r="AI43" i="3"/>
  <c r="AJ43" i="3"/>
  <c r="AJ46" i="3" s="1"/>
  <c r="AJ78" i="3" s="1"/>
  <c r="AK43" i="3"/>
  <c r="AL43" i="3"/>
  <c r="AL75" i="3" s="1"/>
  <c r="AM43" i="3"/>
  <c r="B44" i="3"/>
  <c r="C44" i="3"/>
  <c r="C46" i="3" s="1"/>
  <c r="D44" i="3"/>
  <c r="E44" i="3"/>
  <c r="F44" i="3"/>
  <c r="F46" i="3" s="1"/>
  <c r="F78" i="3" s="1"/>
  <c r="G44" i="3"/>
  <c r="H44" i="3"/>
  <c r="I44" i="3"/>
  <c r="J44" i="3"/>
  <c r="K44" i="3"/>
  <c r="K46" i="3" s="1"/>
  <c r="L44" i="3"/>
  <c r="M44" i="3"/>
  <c r="N44" i="3"/>
  <c r="N46" i="3" s="1"/>
  <c r="N78" i="3" s="1"/>
  <c r="O44" i="3"/>
  <c r="P44" i="3"/>
  <c r="Q44" i="3"/>
  <c r="R44" i="3"/>
  <c r="S44" i="3"/>
  <c r="S46" i="3" s="1"/>
  <c r="T44" i="3"/>
  <c r="U44" i="3"/>
  <c r="V44" i="3"/>
  <c r="V46" i="3" s="1"/>
  <c r="V78" i="3" s="1"/>
  <c r="W44" i="3"/>
  <c r="X44" i="3"/>
  <c r="Y44" i="3"/>
  <c r="Z44" i="3"/>
  <c r="AA44" i="3"/>
  <c r="AA46" i="3" s="1"/>
  <c r="AB44" i="3"/>
  <c r="AC44" i="3"/>
  <c r="AD44" i="3"/>
  <c r="AD46" i="3" s="1"/>
  <c r="AD78" i="3" s="1"/>
  <c r="AE44" i="3"/>
  <c r="AF44" i="3"/>
  <c r="AG44" i="3"/>
  <c r="AH44" i="3"/>
  <c r="AI44" i="3"/>
  <c r="AI46" i="3" s="1"/>
  <c r="AJ44" i="3"/>
  <c r="AK44" i="3"/>
  <c r="AL44" i="3"/>
  <c r="AM44" i="3"/>
  <c r="AM46" i="3" s="1"/>
  <c r="B45" i="3"/>
  <c r="C45" i="3"/>
  <c r="D45" i="3"/>
  <c r="E45" i="3"/>
  <c r="F45" i="3"/>
  <c r="G45" i="3"/>
  <c r="H45" i="3"/>
  <c r="H46" i="3" s="1"/>
  <c r="I45" i="3"/>
  <c r="J45" i="3"/>
  <c r="K45" i="3"/>
  <c r="L45" i="3"/>
  <c r="M45" i="3"/>
  <c r="N45" i="3"/>
  <c r="O45" i="3"/>
  <c r="P45" i="3"/>
  <c r="P46" i="3" s="1"/>
  <c r="Q45" i="3"/>
  <c r="R45" i="3"/>
  <c r="S45" i="3"/>
  <c r="T45" i="3"/>
  <c r="U45" i="3"/>
  <c r="V45" i="3"/>
  <c r="W45" i="3"/>
  <c r="X45" i="3"/>
  <c r="X46" i="3" s="1"/>
  <c r="Y45" i="3"/>
  <c r="Z45" i="3"/>
  <c r="AA45" i="3"/>
  <c r="AB45" i="3"/>
  <c r="AC45" i="3"/>
  <c r="AD45" i="3"/>
  <c r="AE45" i="3"/>
  <c r="AF45" i="3"/>
  <c r="AF46" i="3" s="1"/>
  <c r="AG45" i="3"/>
  <c r="AH45" i="3"/>
  <c r="AI45" i="3"/>
  <c r="AJ45" i="3"/>
  <c r="AK45" i="3"/>
  <c r="AL45" i="3"/>
  <c r="AM45" i="3"/>
  <c r="B46" i="3"/>
  <c r="B56" i="3" s="1"/>
  <c r="B88" i="3" s="1"/>
  <c r="E46" i="3"/>
  <c r="G46" i="3"/>
  <c r="J46" i="3"/>
  <c r="J56" i="3" s="1"/>
  <c r="J88" i="3" s="1"/>
  <c r="M46" i="3"/>
  <c r="O46" i="3"/>
  <c r="R46" i="3"/>
  <c r="R56" i="3" s="1"/>
  <c r="U46" i="3"/>
  <c r="W46" i="3"/>
  <c r="Z46" i="3"/>
  <c r="Z56" i="3" s="1"/>
  <c r="AC46" i="3"/>
  <c r="AE46" i="3"/>
  <c r="AH46" i="3"/>
  <c r="AH56" i="3" s="1"/>
  <c r="AK46" i="3"/>
  <c r="B52" i="3"/>
  <c r="C52" i="3"/>
  <c r="D52" i="3"/>
  <c r="D84" i="3" s="1"/>
  <c r="E52" i="3"/>
  <c r="F52" i="3"/>
  <c r="G52" i="3"/>
  <c r="G56" i="3" s="1"/>
  <c r="G88" i="3" s="1"/>
  <c r="H52" i="3"/>
  <c r="I52" i="3"/>
  <c r="J52" i="3"/>
  <c r="K52" i="3"/>
  <c r="L52" i="3"/>
  <c r="L84" i="3" s="1"/>
  <c r="M52" i="3"/>
  <c r="N52" i="3"/>
  <c r="O52" i="3"/>
  <c r="O56" i="3" s="1"/>
  <c r="P52" i="3"/>
  <c r="Q52" i="3"/>
  <c r="R52" i="3"/>
  <c r="S52" i="3"/>
  <c r="T52" i="3"/>
  <c r="T84" i="3" s="1"/>
  <c r="U52" i="3"/>
  <c r="V52" i="3"/>
  <c r="W52" i="3"/>
  <c r="W56" i="3" s="1"/>
  <c r="X52" i="3"/>
  <c r="Y52" i="3"/>
  <c r="Z52" i="3"/>
  <c r="AA52" i="3"/>
  <c r="AB52" i="3"/>
  <c r="AB84" i="3" s="1"/>
  <c r="AC52" i="3"/>
  <c r="AD52" i="3"/>
  <c r="AE52" i="3"/>
  <c r="AE56" i="3" s="1"/>
  <c r="AF52" i="3"/>
  <c r="AG52" i="3"/>
  <c r="AH52" i="3"/>
  <c r="AI52" i="3"/>
  <c r="AJ52" i="3"/>
  <c r="AJ84" i="3" s="1"/>
  <c r="AK52" i="3"/>
  <c r="AL52" i="3"/>
  <c r="AM84" i="3"/>
  <c r="B55" i="3"/>
  <c r="C55" i="3"/>
  <c r="D55" i="3"/>
  <c r="E55" i="3"/>
  <c r="F55" i="3"/>
  <c r="F56" i="3" s="1"/>
  <c r="F88" i="3" s="1"/>
  <c r="G55" i="3"/>
  <c r="H55" i="3"/>
  <c r="I55" i="3"/>
  <c r="I56" i="3" s="1"/>
  <c r="I88" i="3" s="1"/>
  <c r="J55" i="3"/>
  <c r="K55" i="3"/>
  <c r="L55" i="3"/>
  <c r="M55" i="3"/>
  <c r="N55" i="3"/>
  <c r="N56" i="3" s="1"/>
  <c r="N88" i="3" s="1"/>
  <c r="O55" i="3"/>
  <c r="P55" i="3"/>
  <c r="Q55" i="3"/>
  <c r="Q56" i="3" s="1"/>
  <c r="R55" i="3"/>
  <c r="S55" i="3"/>
  <c r="T55" i="3"/>
  <c r="U55" i="3"/>
  <c r="V55" i="3"/>
  <c r="V56" i="3" s="1"/>
  <c r="W55" i="3"/>
  <c r="X55" i="3"/>
  <c r="Y55" i="3"/>
  <c r="Y56" i="3" s="1"/>
  <c r="Z55" i="3"/>
  <c r="AA55" i="3"/>
  <c r="AB55" i="3"/>
  <c r="AC55" i="3"/>
  <c r="AD55" i="3"/>
  <c r="AD56" i="3" s="1"/>
  <c r="AE55" i="3"/>
  <c r="AF55" i="3"/>
  <c r="AG55" i="3"/>
  <c r="AG56" i="3" s="1"/>
  <c r="AH55" i="3"/>
  <c r="AI55" i="3"/>
  <c r="AJ55" i="3"/>
  <c r="AK55" i="3"/>
  <c r="AL55" i="3"/>
  <c r="AM55" i="3"/>
  <c r="AM87" i="3" s="1"/>
  <c r="E56" i="3"/>
  <c r="M56" i="3"/>
  <c r="U56" i="3"/>
  <c r="AC56" i="3"/>
  <c r="AK56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M90" i="3" s="1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U60" i="3"/>
  <c r="AC60" i="3"/>
  <c r="AK60" i="3"/>
  <c r="Z63" i="3"/>
  <c r="AB63" i="3"/>
  <c r="AE63" i="3"/>
  <c r="AH63" i="3"/>
  <c r="AJ63" i="3"/>
  <c r="AM63" i="3"/>
  <c r="Z64" i="3"/>
  <c r="AA64" i="3"/>
  <c r="AA63" i="3" s="1"/>
  <c r="AB64" i="3"/>
  <c r="AC64" i="3"/>
  <c r="AC63" i="3" s="1"/>
  <c r="AD64" i="3"/>
  <c r="AD63" i="3" s="1"/>
  <c r="AE64" i="3"/>
  <c r="AF64" i="3"/>
  <c r="AF63" i="3" s="1"/>
  <c r="AG64" i="3"/>
  <c r="AG63" i="3" s="1"/>
  <c r="AH64" i="3"/>
  <c r="AI64" i="3"/>
  <c r="AI63" i="3" s="1"/>
  <c r="AJ64" i="3"/>
  <c r="AK64" i="3"/>
  <c r="AK63" i="3" s="1"/>
  <c r="AL64" i="3"/>
  <c r="AL63" i="3" s="1"/>
  <c r="AM64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L71" i="3"/>
  <c r="AM71" i="3"/>
  <c r="AL72" i="3"/>
  <c r="AM72" i="3"/>
  <c r="AL73" i="3"/>
  <c r="AM73" i="3"/>
  <c r="D74" i="3"/>
  <c r="E74" i="3"/>
  <c r="F74" i="3"/>
  <c r="G74" i="3"/>
  <c r="H74" i="3"/>
  <c r="I74" i="3"/>
  <c r="L74" i="3"/>
  <c r="M74" i="3"/>
  <c r="N74" i="3"/>
  <c r="O74" i="3"/>
  <c r="P74" i="3"/>
  <c r="Q74" i="3"/>
  <c r="T74" i="3"/>
  <c r="U74" i="3"/>
  <c r="V74" i="3"/>
  <c r="W74" i="3"/>
  <c r="X74" i="3"/>
  <c r="Y74" i="3"/>
  <c r="AB74" i="3"/>
  <c r="AC74" i="3"/>
  <c r="AD74" i="3"/>
  <c r="AE74" i="3"/>
  <c r="AF74" i="3"/>
  <c r="AG74" i="3"/>
  <c r="AJ74" i="3"/>
  <c r="AK74" i="3"/>
  <c r="AL74" i="3"/>
  <c r="B75" i="3"/>
  <c r="C75" i="3"/>
  <c r="F75" i="3"/>
  <c r="G75" i="3"/>
  <c r="H75" i="3"/>
  <c r="I75" i="3"/>
  <c r="J75" i="3"/>
  <c r="K75" i="3"/>
  <c r="N75" i="3"/>
  <c r="O75" i="3"/>
  <c r="P75" i="3"/>
  <c r="Q75" i="3"/>
  <c r="R75" i="3"/>
  <c r="S75" i="3"/>
  <c r="V75" i="3"/>
  <c r="W75" i="3"/>
  <c r="X75" i="3"/>
  <c r="Y75" i="3"/>
  <c r="Z75" i="3"/>
  <c r="AA75" i="3"/>
  <c r="AD75" i="3"/>
  <c r="AE75" i="3"/>
  <c r="AF75" i="3"/>
  <c r="AG75" i="3"/>
  <c r="AH75" i="3"/>
  <c r="AI75" i="3"/>
  <c r="B76" i="3"/>
  <c r="C76" i="3"/>
  <c r="D76" i="3"/>
  <c r="E76" i="3"/>
  <c r="H76" i="3"/>
  <c r="I76" i="3"/>
  <c r="J76" i="3"/>
  <c r="K76" i="3"/>
  <c r="L76" i="3"/>
  <c r="M76" i="3"/>
  <c r="P76" i="3"/>
  <c r="Q76" i="3"/>
  <c r="R76" i="3"/>
  <c r="S76" i="3"/>
  <c r="T76" i="3"/>
  <c r="U76" i="3"/>
  <c r="X76" i="3"/>
  <c r="Y76" i="3"/>
  <c r="Z76" i="3"/>
  <c r="AA76" i="3"/>
  <c r="AB76" i="3"/>
  <c r="AC76" i="3"/>
  <c r="AF76" i="3"/>
  <c r="AG76" i="3"/>
  <c r="AH76" i="3"/>
  <c r="AI76" i="3"/>
  <c r="AJ76" i="3"/>
  <c r="AK76" i="3"/>
  <c r="B77" i="3"/>
  <c r="C77" i="3"/>
  <c r="D77" i="3"/>
  <c r="E77" i="3"/>
  <c r="F77" i="3"/>
  <c r="G77" i="3"/>
  <c r="J77" i="3"/>
  <c r="K77" i="3"/>
  <c r="L77" i="3"/>
  <c r="M77" i="3"/>
  <c r="N77" i="3"/>
  <c r="O77" i="3"/>
  <c r="R77" i="3"/>
  <c r="S77" i="3"/>
  <c r="T77" i="3"/>
  <c r="U77" i="3"/>
  <c r="V77" i="3"/>
  <c r="W77" i="3"/>
  <c r="Z77" i="3"/>
  <c r="AA77" i="3"/>
  <c r="AB77" i="3"/>
  <c r="AC77" i="3"/>
  <c r="AD77" i="3"/>
  <c r="AE77" i="3"/>
  <c r="AH77" i="3"/>
  <c r="AI77" i="3"/>
  <c r="AJ77" i="3"/>
  <c r="AK77" i="3"/>
  <c r="AL77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B84" i="3"/>
  <c r="C84" i="3"/>
  <c r="E84" i="3"/>
  <c r="G84" i="3"/>
  <c r="H84" i="3"/>
  <c r="I84" i="3"/>
  <c r="J84" i="3"/>
  <c r="K84" i="3"/>
  <c r="M84" i="3"/>
  <c r="O84" i="3"/>
  <c r="P84" i="3"/>
  <c r="Q84" i="3"/>
  <c r="R84" i="3"/>
  <c r="S84" i="3"/>
  <c r="U84" i="3"/>
  <c r="W84" i="3"/>
  <c r="X84" i="3"/>
  <c r="Y84" i="3"/>
  <c r="Z84" i="3"/>
  <c r="AA84" i="3"/>
  <c r="AC84" i="3"/>
  <c r="AE84" i="3"/>
  <c r="AF84" i="3"/>
  <c r="AG84" i="3"/>
  <c r="AH84" i="3"/>
  <c r="AI84" i="3"/>
  <c r="AK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B87" i="3"/>
  <c r="C87" i="3"/>
  <c r="D87" i="3"/>
  <c r="E87" i="3"/>
  <c r="G87" i="3"/>
  <c r="H87" i="3"/>
  <c r="I87" i="3"/>
  <c r="J87" i="3"/>
  <c r="K87" i="3"/>
  <c r="L87" i="3"/>
  <c r="M87" i="3"/>
  <c r="O87" i="3"/>
  <c r="P87" i="3"/>
  <c r="Q87" i="3"/>
  <c r="R87" i="3"/>
  <c r="S87" i="3"/>
  <c r="T87" i="3"/>
  <c r="U87" i="3"/>
  <c r="W87" i="3"/>
  <c r="X87" i="3"/>
  <c r="Y87" i="3"/>
  <c r="Z87" i="3"/>
  <c r="AA87" i="3"/>
  <c r="AB87" i="3"/>
  <c r="AC87" i="3"/>
  <c r="AE87" i="3"/>
  <c r="AF87" i="3"/>
  <c r="AG87" i="3"/>
  <c r="AH87" i="3"/>
  <c r="AI87" i="3"/>
  <c r="AJ87" i="3"/>
  <c r="AK87" i="3"/>
  <c r="E88" i="3"/>
  <c r="M88" i="3"/>
  <c r="U88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U92" i="3"/>
  <c r="CY103" i="1"/>
  <c r="AM59" i="3" l="1"/>
  <c r="AM91" i="3" s="1"/>
  <c r="AL84" i="3"/>
  <c r="AL46" i="3"/>
  <c r="AL78" i="3" s="1"/>
  <c r="AM75" i="3"/>
  <c r="AM56" i="3"/>
  <c r="AM60" i="3" s="1"/>
  <c r="AM76" i="3"/>
  <c r="AM79" i="3"/>
  <c r="AM14" i="3"/>
  <c r="AM74" i="3" s="1"/>
  <c r="AK28" i="3"/>
  <c r="AK78" i="3"/>
  <c r="AC28" i="3"/>
  <c r="AC78" i="3"/>
  <c r="AG60" i="3"/>
  <c r="W60" i="3"/>
  <c r="W92" i="3" s="1"/>
  <c r="W88" i="3"/>
  <c r="Y88" i="3"/>
  <c r="Y60" i="3"/>
  <c r="Y92" i="3" s="1"/>
  <c r="AH60" i="3"/>
  <c r="AH92" i="3" s="1"/>
  <c r="AH88" i="3"/>
  <c r="AD88" i="3"/>
  <c r="AD60" i="3"/>
  <c r="AD92" i="3" s="1"/>
  <c r="V88" i="3"/>
  <c r="V60" i="3"/>
  <c r="V92" i="3" s="1"/>
  <c r="Z60" i="3"/>
  <c r="Z92" i="3" s="1"/>
  <c r="Z88" i="3"/>
  <c r="O60" i="3"/>
  <c r="O92" i="3" s="1"/>
  <c r="O88" i="3"/>
  <c r="AF56" i="3"/>
  <c r="AF78" i="3"/>
  <c r="X56" i="3"/>
  <c r="X78" i="3"/>
  <c r="P56" i="3"/>
  <c r="P78" i="3"/>
  <c r="H56" i="3"/>
  <c r="H88" i="3" s="1"/>
  <c r="H78" i="3"/>
  <c r="Q60" i="3"/>
  <c r="Q92" i="3" s="1"/>
  <c r="Q88" i="3"/>
  <c r="AE60" i="3"/>
  <c r="R60" i="3"/>
  <c r="R92" i="3" s="1"/>
  <c r="R88" i="3"/>
  <c r="AI78" i="3"/>
  <c r="AI56" i="3"/>
  <c r="AA78" i="3"/>
  <c r="AA56" i="3"/>
  <c r="S56" i="3"/>
  <c r="K78" i="3"/>
  <c r="K56" i="3"/>
  <c r="K88" i="3" s="1"/>
  <c r="C78" i="3"/>
  <c r="C56" i="3"/>
  <c r="C88" i="3" s="1"/>
  <c r="Q78" i="3"/>
  <c r="I78" i="3"/>
  <c r="S18" i="3"/>
  <c r="S78" i="3" s="1"/>
  <c r="AH78" i="3"/>
  <c r="Z78" i="3"/>
  <c r="R78" i="3"/>
  <c r="J78" i="3"/>
  <c r="B78" i="3"/>
  <c r="AF77" i="3"/>
  <c r="X77" i="3"/>
  <c r="P77" i="3"/>
  <c r="H77" i="3"/>
  <c r="AL76" i="3"/>
  <c r="AD76" i="3"/>
  <c r="V76" i="3"/>
  <c r="N76" i="3"/>
  <c r="F76" i="3"/>
  <c r="AJ75" i="3"/>
  <c r="AB75" i="3"/>
  <c r="T75" i="3"/>
  <c r="L75" i="3"/>
  <c r="D75" i="3"/>
  <c r="AL87" i="3"/>
  <c r="AD87" i="3"/>
  <c r="V87" i="3"/>
  <c r="N87" i="3"/>
  <c r="F87" i="3"/>
  <c r="AG18" i="3"/>
  <c r="AG28" i="3" s="1"/>
  <c r="AG88" i="3" s="1"/>
  <c r="Y18" i="3"/>
  <c r="Y78" i="3" s="1"/>
  <c r="Q18" i="3"/>
  <c r="I18" i="3"/>
  <c r="AD84" i="3"/>
  <c r="AJ56" i="3"/>
  <c r="AB56" i="3"/>
  <c r="T56" i="3"/>
  <c r="L56" i="3"/>
  <c r="L88" i="3" s="1"/>
  <c r="D56" i="3"/>
  <c r="D88" i="3" s="1"/>
  <c r="AE18" i="3"/>
  <c r="W18" i="3"/>
  <c r="W78" i="3" s="1"/>
  <c r="O18" i="3"/>
  <c r="O78" i="3" s="1"/>
  <c r="G18" i="3"/>
  <c r="G78" i="3" s="1"/>
  <c r="AK75" i="3"/>
  <c r="AC75" i="3"/>
  <c r="U75" i="3"/>
  <c r="M75" i="3"/>
  <c r="E75" i="3"/>
  <c r="AL56" i="3" l="1"/>
  <c r="AM18" i="3"/>
  <c r="AM78" i="3" s="1"/>
  <c r="T88" i="3"/>
  <c r="T60" i="3"/>
  <c r="T92" i="3" s="1"/>
  <c r="AB88" i="3"/>
  <c r="AB60" i="3"/>
  <c r="AB92" i="3" s="1"/>
  <c r="S88" i="3"/>
  <c r="S60" i="3"/>
  <c r="S92" i="3" s="1"/>
  <c r="AG92" i="3"/>
  <c r="AJ88" i="3"/>
  <c r="AJ60" i="3"/>
  <c r="AJ92" i="3" s="1"/>
  <c r="X60" i="3"/>
  <c r="X92" i="3" s="1"/>
  <c r="X88" i="3"/>
  <c r="AA88" i="3"/>
  <c r="AA60" i="3"/>
  <c r="AA92" i="3" s="1"/>
  <c r="AC88" i="3"/>
  <c r="AC92" i="3"/>
  <c r="P60" i="3"/>
  <c r="P92" i="3" s="1"/>
  <c r="P88" i="3"/>
  <c r="AE28" i="3"/>
  <c r="AE88" i="3" s="1"/>
  <c r="AE78" i="3"/>
  <c r="AG78" i="3"/>
  <c r="AF60" i="3"/>
  <c r="AF92" i="3" s="1"/>
  <c r="AF88" i="3"/>
  <c r="AI88" i="3"/>
  <c r="AI60" i="3"/>
  <c r="AI92" i="3" s="1"/>
  <c r="AK88" i="3"/>
  <c r="AK92" i="3"/>
  <c r="AL60" i="3" l="1"/>
  <c r="AL92" i="3" s="1"/>
  <c r="AL88" i="3"/>
  <c r="AE92" i="3"/>
  <c r="AM88" i="3" l="1"/>
  <c r="AM92" i="3"/>
  <c r="DR103" i="1" l="1"/>
  <c r="DU103" i="1" s="1"/>
  <c r="C103" i="1"/>
  <c r="BO103" i="1" s="1"/>
  <c r="BQ103" i="1" s="1"/>
  <c r="P103" i="1"/>
  <c r="DN103" i="1" s="1"/>
  <c r="U103" i="1"/>
  <c r="V103" i="1" s="1"/>
  <c r="X103" i="1" s="1"/>
  <c r="AF103" i="1"/>
  <c r="AN103" i="1"/>
  <c r="BP103" i="1"/>
  <c r="BY103" i="1"/>
  <c r="CM103" i="1" s="1"/>
  <c r="CF103" i="1"/>
  <c r="CS103" i="1" s="1"/>
  <c r="DE103" i="1"/>
  <c r="DK103" i="1"/>
  <c r="DT103" i="1"/>
  <c r="EE103" i="1"/>
  <c r="EI103" i="1"/>
  <c r="EN103" i="1"/>
  <c r="DT102" i="1"/>
  <c r="DK102" i="1"/>
  <c r="DK101" i="1"/>
  <c r="DK100" i="1"/>
  <c r="CY102" i="1"/>
  <c r="EO103" i="1" l="1"/>
  <c r="EP103" i="1" s="1"/>
  <c r="DO103" i="1"/>
  <c r="AO103" i="1"/>
  <c r="DV103" i="1"/>
  <c r="DF103" i="1" s="1"/>
  <c r="AW103" i="1"/>
  <c r="BD103" i="1" l="1"/>
  <c r="BE103" i="1"/>
  <c r="AN102" i="1"/>
  <c r="AN100" i="1"/>
  <c r="U102" i="1" l="1"/>
  <c r="V102" i="1" s="1"/>
  <c r="X102" i="1" s="1"/>
  <c r="AO102" i="1" l="1"/>
  <c r="EE102" i="1"/>
  <c r="AF66" i="1" l="1"/>
  <c r="AN66" i="1"/>
  <c r="AR66" i="1"/>
  <c r="AS66" i="1"/>
  <c r="AF67" i="1"/>
  <c r="AN67" i="1"/>
  <c r="AR67" i="1"/>
  <c r="AS67" i="1"/>
  <c r="AF68" i="1"/>
  <c r="AN68" i="1"/>
  <c r="AR68" i="1"/>
  <c r="AS68" i="1"/>
  <c r="AF69" i="1"/>
  <c r="AN69" i="1"/>
  <c r="AR69" i="1"/>
  <c r="AS69" i="1"/>
  <c r="P90" i="1" l="1"/>
  <c r="P91" i="1"/>
  <c r="P92" i="1"/>
  <c r="P93" i="1"/>
  <c r="P94" i="1"/>
  <c r="P95" i="1"/>
  <c r="P96" i="1"/>
  <c r="P97" i="1"/>
  <c r="P98" i="1"/>
  <c r="P99" i="1"/>
  <c r="P100" i="1"/>
  <c r="P101" i="1"/>
  <c r="P102" i="1"/>
  <c r="EN102" i="1"/>
  <c r="EI102" i="1"/>
  <c r="DR102" i="1"/>
  <c r="DU102" i="1" s="1"/>
  <c r="DE102" i="1"/>
  <c r="CF102" i="1"/>
  <c r="CS102" i="1" s="1"/>
  <c r="BY102" i="1"/>
  <c r="CM102" i="1" s="1"/>
  <c r="BP102" i="1"/>
  <c r="AF102" i="1"/>
  <c r="DO102" i="1"/>
  <c r="C102" i="1"/>
  <c r="AW102" i="1" s="1"/>
  <c r="BD102" i="1" s="1"/>
  <c r="EN101" i="1"/>
  <c r="EI101" i="1"/>
  <c r="EE101" i="1"/>
  <c r="DN102" i="1" l="1"/>
  <c r="EO102" i="1"/>
  <c r="EP102" i="1" s="1"/>
  <c r="BE102" i="1"/>
  <c r="DV102" i="1"/>
  <c r="DF102" i="1" s="1"/>
  <c r="BO102" i="1"/>
  <c r="BQ102" i="1" s="1"/>
  <c r="EO101" i="1"/>
  <c r="EP101" i="1" s="1"/>
  <c r="DT101" i="1"/>
  <c r="AN101" i="1" l="1"/>
  <c r="CF101" i="1" l="1"/>
  <c r="CS101" i="1" s="1"/>
  <c r="BY101" i="1"/>
  <c r="CM101" i="1" s="1"/>
  <c r="BP101" i="1" l="1"/>
  <c r="CY101" i="1"/>
  <c r="DR101" i="1" s="1"/>
  <c r="DU101" i="1" s="1"/>
  <c r="AF101" i="1" l="1"/>
  <c r="U101" i="1"/>
  <c r="DN101" i="1"/>
  <c r="DE101" i="1"/>
  <c r="C101" i="1"/>
  <c r="DR100" i="1"/>
  <c r="DU100" i="1" s="1"/>
  <c r="V101" i="1" l="1"/>
  <c r="AO101" i="1" s="1"/>
  <c r="DO101" i="1"/>
  <c r="DV101" i="1" s="1"/>
  <c r="DF101" i="1" s="1"/>
  <c r="AW101" i="1"/>
  <c r="BD101" i="1" s="1"/>
  <c r="BO101" i="1"/>
  <c r="BQ101" i="1" s="1"/>
  <c r="DN10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U100" i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AO69" i="1" s="1"/>
  <c r="U68" i="1"/>
  <c r="V68" i="1" s="1"/>
  <c r="AO68" i="1" s="1"/>
  <c r="U67" i="1"/>
  <c r="V67" i="1" s="1"/>
  <c r="AO67" i="1" s="1"/>
  <c r="U66" i="1"/>
  <c r="V66" i="1" s="1"/>
  <c r="AO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DE6" i="1"/>
  <c r="DO100" i="1" l="1"/>
  <c r="BE101" i="1"/>
  <c r="X101" i="1"/>
  <c r="V100" i="1"/>
  <c r="U6" i="1"/>
  <c r="V6" i="1" s="1"/>
  <c r="DE100" i="1" l="1"/>
  <c r="DE99" i="1"/>
  <c r="DF99" i="1" s="1"/>
  <c r="DE98" i="1"/>
  <c r="DE97" i="1"/>
  <c r="DE96" i="1"/>
  <c r="DE95" i="1"/>
  <c r="DE94" i="1"/>
  <c r="DF94" i="1" s="1"/>
  <c r="DE93" i="1"/>
  <c r="DE92" i="1"/>
  <c r="DE91" i="1"/>
  <c r="DE90" i="1"/>
  <c r="DE89" i="1"/>
  <c r="DE88" i="1"/>
  <c r="DE87" i="1"/>
  <c r="DE86" i="1"/>
  <c r="DF86" i="1" s="1"/>
  <c r="DE85" i="1"/>
  <c r="DE84" i="1"/>
  <c r="DE83" i="1"/>
  <c r="DE82" i="1"/>
  <c r="DE81" i="1"/>
  <c r="DE80" i="1"/>
  <c r="DE79" i="1"/>
  <c r="DE78" i="1"/>
  <c r="DF78" i="1" s="1"/>
  <c r="DE77" i="1"/>
  <c r="DF77" i="1" s="1"/>
  <c r="DE76" i="1"/>
  <c r="DE75" i="1"/>
  <c r="DE74" i="1"/>
  <c r="DE73" i="1"/>
  <c r="DE72" i="1"/>
  <c r="DE71" i="1"/>
  <c r="DE70" i="1"/>
  <c r="DF70" i="1" s="1"/>
  <c r="DE69" i="1"/>
  <c r="DF69" i="1" s="1"/>
  <c r="DE68" i="1"/>
  <c r="DE67" i="1"/>
  <c r="DE66" i="1"/>
  <c r="DE65" i="1"/>
  <c r="DE64" i="1"/>
  <c r="DE63" i="1"/>
  <c r="DE62" i="1"/>
  <c r="DF62" i="1" s="1"/>
  <c r="DE61" i="1"/>
  <c r="DF61" i="1" s="1"/>
  <c r="DE60" i="1"/>
  <c r="DE59" i="1"/>
  <c r="DE58" i="1"/>
  <c r="DE57" i="1"/>
  <c r="DE56" i="1"/>
  <c r="DE55" i="1"/>
  <c r="DE54" i="1"/>
  <c r="DF54" i="1" s="1"/>
  <c r="DE53" i="1"/>
  <c r="DF53" i="1" s="1"/>
  <c r="DE52" i="1"/>
  <c r="DE51" i="1"/>
  <c r="DE50" i="1"/>
  <c r="DE49" i="1"/>
  <c r="DE48" i="1"/>
  <c r="DE47" i="1"/>
  <c r="DE46" i="1"/>
  <c r="DF46" i="1" s="1"/>
  <c r="DE45" i="1"/>
  <c r="DF45" i="1" s="1"/>
  <c r="DE44" i="1"/>
  <c r="DE43" i="1"/>
  <c r="DE42" i="1"/>
  <c r="DE41" i="1"/>
  <c r="DE40" i="1"/>
  <c r="DE39" i="1"/>
  <c r="DE38" i="1"/>
  <c r="DF38" i="1" s="1"/>
  <c r="DE37" i="1"/>
  <c r="DF37" i="1" s="1"/>
  <c r="DE36" i="1"/>
  <c r="DE35" i="1"/>
  <c r="DE34" i="1"/>
  <c r="DE33" i="1"/>
  <c r="DE32" i="1"/>
  <c r="DE31" i="1"/>
  <c r="DE30" i="1"/>
  <c r="DF30" i="1" s="1"/>
  <c r="DE29" i="1"/>
  <c r="DF29" i="1" s="1"/>
  <c r="DE28" i="1"/>
  <c r="DE27" i="1"/>
  <c r="DE26" i="1"/>
  <c r="DE25" i="1"/>
  <c r="DE24" i="1"/>
  <c r="DE23" i="1"/>
  <c r="DE22" i="1"/>
  <c r="DF22" i="1" s="1"/>
  <c r="DE21" i="1"/>
  <c r="DF21" i="1" s="1"/>
  <c r="DE20" i="1"/>
  <c r="DE19" i="1"/>
  <c r="DE18" i="1"/>
  <c r="DE17" i="1"/>
  <c r="DE16" i="1"/>
  <c r="DE15" i="1"/>
  <c r="DE14" i="1"/>
  <c r="DF14" i="1" s="1"/>
  <c r="DE13" i="1"/>
  <c r="DF13" i="1" s="1"/>
  <c r="DE12" i="1"/>
  <c r="DE11" i="1"/>
  <c r="DE10" i="1"/>
  <c r="DE9" i="1"/>
  <c r="DE8" i="1"/>
  <c r="DE7" i="1"/>
  <c r="DF6" i="1"/>
  <c r="AN6" i="1"/>
  <c r="DF35" i="1" l="1"/>
  <c r="DF75" i="1"/>
  <c r="DF97" i="1"/>
  <c r="DF43" i="1"/>
  <c r="DF83" i="1"/>
  <c r="DF85" i="1"/>
  <c r="DF11" i="1"/>
  <c r="DF51" i="1"/>
  <c r="DF89" i="1"/>
  <c r="DF59" i="1"/>
  <c r="DF91" i="1"/>
  <c r="DF19" i="1"/>
  <c r="DF93" i="1"/>
  <c r="DF27" i="1"/>
  <c r="DF67" i="1"/>
  <c r="DF24" i="1"/>
  <c r="DF72" i="1"/>
  <c r="DF96" i="1"/>
  <c r="DF49" i="1"/>
  <c r="DF7" i="1"/>
  <c r="DF15" i="1"/>
  <c r="DF23" i="1"/>
  <c r="DF31" i="1"/>
  <c r="DF39" i="1"/>
  <c r="DF47" i="1"/>
  <c r="DF55" i="1"/>
  <c r="DF63" i="1"/>
  <c r="DF71" i="1"/>
  <c r="DF79" i="1"/>
  <c r="DF87" i="1"/>
  <c r="DF95" i="1"/>
  <c r="DF64" i="1"/>
  <c r="DF81" i="1"/>
  <c r="DF18" i="1"/>
  <c r="DF26" i="1"/>
  <c r="DF34" i="1"/>
  <c r="DF42" i="1"/>
  <c r="DF50" i="1"/>
  <c r="DF58" i="1"/>
  <c r="DF66" i="1"/>
  <c r="DF74" i="1"/>
  <c r="DF82" i="1"/>
  <c r="DF90" i="1"/>
  <c r="DF98" i="1"/>
  <c r="DF56" i="1"/>
  <c r="DF17" i="1"/>
  <c r="DF8" i="1"/>
  <c r="DF48" i="1"/>
  <c r="DF88" i="1"/>
  <c r="DF65" i="1"/>
  <c r="DF12" i="1"/>
  <c r="DF20" i="1"/>
  <c r="DF28" i="1"/>
  <c r="DF36" i="1"/>
  <c r="DF44" i="1"/>
  <c r="DF52" i="1"/>
  <c r="DF60" i="1"/>
  <c r="DF68" i="1"/>
  <c r="DF76" i="1"/>
  <c r="DF9" i="1"/>
  <c r="DF32" i="1"/>
  <c r="DF33" i="1"/>
  <c r="DF10" i="1"/>
  <c r="DF25" i="1"/>
  <c r="DF41" i="1"/>
  <c r="DF57" i="1"/>
  <c r="DF73" i="1"/>
  <c r="DF16" i="1"/>
  <c r="DF40" i="1"/>
  <c r="DF80" i="1"/>
  <c r="DF84" i="1"/>
  <c r="DF92" i="1"/>
  <c r="CF99" i="1" l="1"/>
  <c r="CS99" i="1" s="1"/>
  <c r="CF100" i="1"/>
  <c r="CS100" i="1" s="1"/>
  <c r="BY99" i="1"/>
  <c r="X99" i="1" s="1"/>
  <c r="BY98" i="1"/>
  <c r="BY97" i="1"/>
  <c r="X97" i="1" s="1"/>
  <c r="BY96" i="1"/>
  <c r="X96" i="1" s="1"/>
  <c r="BY95" i="1"/>
  <c r="X95" i="1" s="1"/>
  <c r="BY94" i="1"/>
  <c r="BY93" i="1"/>
  <c r="CM93" i="1" s="1"/>
  <c r="BY92" i="1"/>
  <c r="BY91" i="1"/>
  <c r="CM91" i="1" s="1"/>
  <c r="BY90" i="1"/>
  <c r="CM90" i="1" s="1"/>
  <c r="BY89" i="1"/>
  <c r="BY88" i="1"/>
  <c r="BY87" i="1"/>
  <c r="BY86" i="1"/>
  <c r="BY85" i="1"/>
  <c r="CM85" i="1" s="1"/>
  <c r="BY84" i="1"/>
  <c r="BY83" i="1"/>
  <c r="CM83" i="1" s="1"/>
  <c r="BY82" i="1"/>
  <c r="CM82" i="1" s="1"/>
  <c r="BY81" i="1"/>
  <c r="BY80" i="1"/>
  <c r="BY79" i="1"/>
  <c r="BY78" i="1"/>
  <c r="BY77" i="1"/>
  <c r="CM77" i="1" s="1"/>
  <c r="BY76" i="1"/>
  <c r="BY75" i="1"/>
  <c r="CM75" i="1" s="1"/>
  <c r="BY74" i="1"/>
  <c r="CM74" i="1" s="1"/>
  <c r="BY73" i="1"/>
  <c r="BY72" i="1"/>
  <c r="BY71" i="1"/>
  <c r="BY70" i="1"/>
  <c r="BY69" i="1"/>
  <c r="CM69" i="1" s="1"/>
  <c r="BY68" i="1"/>
  <c r="BY67" i="1"/>
  <c r="BY66" i="1"/>
  <c r="CM66" i="1" s="1"/>
  <c r="BY65" i="1"/>
  <c r="BY64" i="1"/>
  <c r="BY63" i="1"/>
  <c r="BY62" i="1"/>
  <c r="BY61" i="1"/>
  <c r="CM61" i="1" s="1"/>
  <c r="BY60" i="1"/>
  <c r="BY59" i="1"/>
  <c r="CM59" i="1" s="1"/>
  <c r="BY58" i="1"/>
  <c r="CM58" i="1" s="1"/>
  <c r="BY57" i="1"/>
  <c r="BY56" i="1"/>
  <c r="BY55" i="1"/>
  <c r="BY54" i="1"/>
  <c r="BY53" i="1"/>
  <c r="CM53" i="1" s="1"/>
  <c r="BY52" i="1"/>
  <c r="BY51" i="1"/>
  <c r="BY50" i="1"/>
  <c r="CM50" i="1" s="1"/>
  <c r="BY49" i="1"/>
  <c r="CM49" i="1" s="1"/>
  <c r="BY48" i="1"/>
  <c r="BY47" i="1"/>
  <c r="BY46" i="1"/>
  <c r="BY45" i="1"/>
  <c r="CM45" i="1" s="1"/>
  <c r="BY44" i="1"/>
  <c r="BY43" i="1"/>
  <c r="CM43" i="1" s="1"/>
  <c r="BY42" i="1"/>
  <c r="CM42" i="1" s="1"/>
  <c r="BY41" i="1"/>
  <c r="BY40" i="1"/>
  <c r="BY39" i="1"/>
  <c r="BY38" i="1"/>
  <c r="BY37" i="1"/>
  <c r="CM37" i="1" s="1"/>
  <c r="BY36" i="1"/>
  <c r="CM36" i="1" s="1"/>
  <c r="BY35" i="1"/>
  <c r="CM35" i="1" s="1"/>
  <c r="BY34" i="1"/>
  <c r="CM34" i="1" s="1"/>
  <c r="BY33" i="1"/>
  <c r="CM33" i="1" s="1"/>
  <c r="BY32" i="1"/>
  <c r="BY31" i="1"/>
  <c r="BY30" i="1"/>
  <c r="BY29" i="1"/>
  <c r="BY28" i="1"/>
  <c r="BY27" i="1"/>
  <c r="CM27" i="1" s="1"/>
  <c r="BY26" i="1"/>
  <c r="CM26" i="1" s="1"/>
  <c r="BY25" i="1"/>
  <c r="BY24" i="1"/>
  <c r="BY23" i="1"/>
  <c r="BY22" i="1"/>
  <c r="BY21" i="1"/>
  <c r="CM21" i="1" s="1"/>
  <c r="BY20" i="1"/>
  <c r="CM20" i="1" s="1"/>
  <c r="BY19" i="1"/>
  <c r="CM19" i="1" s="1"/>
  <c r="BY18" i="1"/>
  <c r="CM18" i="1" s="1"/>
  <c r="BY17" i="1"/>
  <c r="BY16" i="1"/>
  <c r="BY15" i="1"/>
  <c r="BY14" i="1"/>
  <c r="BY13" i="1"/>
  <c r="BY12" i="1"/>
  <c r="CM12" i="1" s="1"/>
  <c r="BY11" i="1"/>
  <c r="CM11" i="1" s="1"/>
  <c r="BY10" i="1"/>
  <c r="CM10" i="1" s="1"/>
  <c r="BY9" i="1"/>
  <c r="CM9" i="1" s="1"/>
  <c r="BY8" i="1"/>
  <c r="BY7" i="1"/>
  <c r="BY6" i="1"/>
  <c r="BY100" i="1"/>
  <c r="BP100" i="1"/>
  <c r="EN100" i="1"/>
  <c r="EI100" i="1"/>
  <c r="AF100" i="1"/>
  <c r="EE100" i="1"/>
  <c r="C100" i="1"/>
  <c r="AW100" i="1" s="1"/>
  <c r="BP99" i="1"/>
  <c r="AN99" i="1"/>
  <c r="AF99" i="1"/>
  <c r="EP99" i="1" s="1"/>
  <c r="C99" i="1"/>
  <c r="AW99" i="1" s="1"/>
  <c r="BD99" i="1" s="1"/>
  <c r="CF98" i="1"/>
  <c r="CS98" i="1" s="1"/>
  <c r="BP98" i="1"/>
  <c r="AN98" i="1"/>
  <c r="AF98" i="1"/>
  <c r="EP98" i="1" s="1"/>
  <c r="C98" i="1"/>
  <c r="AW98" i="1" s="1"/>
  <c r="CF97" i="1"/>
  <c r="CS97" i="1" s="1"/>
  <c r="BP97" i="1"/>
  <c r="AN97" i="1"/>
  <c r="AF97" i="1"/>
  <c r="EP97" i="1" s="1"/>
  <c r="C97" i="1"/>
  <c r="AW97" i="1" s="1"/>
  <c r="CF96" i="1"/>
  <c r="CS96" i="1" s="1"/>
  <c r="BP96" i="1"/>
  <c r="AN96" i="1"/>
  <c r="AF96" i="1"/>
  <c r="EP96" i="1" s="1"/>
  <c r="C96" i="1"/>
  <c r="BO96" i="1" s="1"/>
  <c r="CF95" i="1"/>
  <c r="CS95" i="1" s="1"/>
  <c r="BP95" i="1"/>
  <c r="AN95" i="1"/>
  <c r="AF95" i="1"/>
  <c r="EP95" i="1" s="1"/>
  <c r="C95" i="1"/>
  <c r="BO95" i="1" s="1"/>
  <c r="CF94" i="1"/>
  <c r="CS94" i="1" s="1"/>
  <c r="BP94" i="1"/>
  <c r="AN94" i="1"/>
  <c r="AF94" i="1"/>
  <c r="EP94" i="1" s="1"/>
  <c r="C94" i="1"/>
  <c r="BO94" i="1" s="1"/>
  <c r="CF93" i="1"/>
  <c r="CS93" i="1" s="1"/>
  <c r="BP93" i="1"/>
  <c r="AN93" i="1"/>
  <c r="AF93" i="1"/>
  <c r="C93" i="1"/>
  <c r="BO93" i="1" s="1"/>
  <c r="CF92" i="1"/>
  <c r="CS92" i="1" s="1"/>
  <c r="BP92" i="1"/>
  <c r="AN92" i="1"/>
  <c r="AF92" i="1"/>
  <c r="EP92" i="1" s="1"/>
  <c r="X92" i="1"/>
  <c r="C92" i="1"/>
  <c r="AW92" i="1" s="1"/>
  <c r="BD92" i="1" s="1"/>
  <c r="CF91" i="1"/>
  <c r="CS91" i="1" s="1"/>
  <c r="BP91" i="1"/>
  <c r="AN91" i="1"/>
  <c r="AF91" i="1"/>
  <c r="EP91" i="1" s="1"/>
  <c r="X91" i="1"/>
  <c r="C91" i="1"/>
  <c r="AW91" i="1" s="1"/>
  <c r="CF90" i="1"/>
  <c r="CS90" i="1" s="1"/>
  <c r="BP90" i="1"/>
  <c r="AN90" i="1"/>
  <c r="AF90" i="1"/>
  <c r="EP90" i="1" s="1"/>
  <c r="X90" i="1"/>
  <c r="C90" i="1"/>
  <c r="AW90" i="1" s="1"/>
  <c r="CF89" i="1"/>
  <c r="CS89" i="1" s="1"/>
  <c r="BP89" i="1"/>
  <c r="AN89" i="1"/>
  <c r="AF89" i="1"/>
  <c r="EP89" i="1" s="1"/>
  <c r="X89" i="1"/>
  <c r="C89" i="1"/>
  <c r="AW89" i="1" s="1"/>
  <c r="CF88" i="1"/>
  <c r="CS88" i="1" s="1"/>
  <c r="BP88" i="1"/>
  <c r="AN88" i="1"/>
  <c r="AF88" i="1"/>
  <c r="EP88" i="1" s="1"/>
  <c r="X88" i="1"/>
  <c r="C88" i="1"/>
  <c r="BO88" i="1" s="1"/>
  <c r="CF87" i="1"/>
  <c r="CS87" i="1" s="1"/>
  <c r="BP87" i="1"/>
  <c r="AN87" i="1"/>
  <c r="AF87" i="1"/>
  <c r="EP87" i="1" s="1"/>
  <c r="X87" i="1"/>
  <c r="C87" i="1"/>
  <c r="BO87" i="1" s="1"/>
  <c r="CF86" i="1"/>
  <c r="CS86" i="1" s="1"/>
  <c r="BP86" i="1"/>
  <c r="AN86" i="1"/>
  <c r="AF86" i="1"/>
  <c r="EP86" i="1" s="1"/>
  <c r="X86" i="1"/>
  <c r="C86" i="1"/>
  <c r="BO86" i="1" s="1"/>
  <c r="CF85" i="1"/>
  <c r="CS85" i="1" s="1"/>
  <c r="BP85" i="1"/>
  <c r="AN85" i="1"/>
  <c r="AF85" i="1"/>
  <c r="EP85" i="1" s="1"/>
  <c r="C85" i="1"/>
  <c r="AW85" i="1" s="1"/>
  <c r="CF84" i="1"/>
  <c r="CS84" i="1" s="1"/>
  <c r="BP84" i="1"/>
  <c r="AN84" i="1"/>
  <c r="AF84" i="1"/>
  <c r="EP84" i="1" s="1"/>
  <c r="X84" i="1"/>
  <c r="C84" i="1"/>
  <c r="BO84" i="1" s="1"/>
  <c r="CF83" i="1"/>
  <c r="CS83" i="1" s="1"/>
  <c r="BP83" i="1"/>
  <c r="AN83" i="1"/>
  <c r="AF83" i="1"/>
  <c r="EP83" i="1" s="1"/>
  <c r="X83" i="1"/>
  <c r="C83" i="1"/>
  <c r="AW83" i="1" s="1"/>
  <c r="CF82" i="1"/>
  <c r="CS82" i="1" s="1"/>
  <c r="BP82" i="1"/>
  <c r="AN82" i="1"/>
  <c r="AF82" i="1"/>
  <c r="EP82" i="1" s="1"/>
  <c r="X82" i="1"/>
  <c r="C82" i="1"/>
  <c r="AW82" i="1" s="1"/>
  <c r="CF81" i="1"/>
  <c r="CS81" i="1" s="1"/>
  <c r="BP81" i="1"/>
  <c r="AN81" i="1"/>
  <c r="AF81" i="1"/>
  <c r="EP81" i="1" s="1"/>
  <c r="X81" i="1"/>
  <c r="C81" i="1"/>
  <c r="AW81" i="1" s="1"/>
  <c r="CF80" i="1"/>
  <c r="CS80" i="1" s="1"/>
  <c r="BP80" i="1"/>
  <c r="AN80" i="1"/>
  <c r="AF80" i="1"/>
  <c r="EP80" i="1" s="1"/>
  <c r="X80" i="1"/>
  <c r="C80" i="1"/>
  <c r="BO80" i="1" s="1"/>
  <c r="CF79" i="1"/>
  <c r="CS79" i="1" s="1"/>
  <c r="BP79" i="1"/>
  <c r="AN79" i="1"/>
  <c r="AF79" i="1"/>
  <c r="EP79" i="1" s="1"/>
  <c r="X79" i="1"/>
  <c r="C79" i="1"/>
  <c r="BO79" i="1" s="1"/>
  <c r="CF78" i="1"/>
  <c r="CS78" i="1" s="1"/>
  <c r="BP78" i="1"/>
  <c r="AN78" i="1"/>
  <c r="AF78" i="1"/>
  <c r="EP78" i="1" s="1"/>
  <c r="X78" i="1"/>
  <c r="C78" i="1"/>
  <c r="BO78" i="1" s="1"/>
  <c r="CF77" i="1"/>
  <c r="CS77" i="1" s="1"/>
  <c r="BP77" i="1"/>
  <c r="AS77" i="1"/>
  <c r="AR77" i="1"/>
  <c r="AN77" i="1"/>
  <c r="AF77" i="1"/>
  <c r="EP77" i="1" s="1"/>
  <c r="C77" i="1"/>
  <c r="AW77" i="1" s="1"/>
  <c r="CF76" i="1"/>
  <c r="CS76" i="1" s="1"/>
  <c r="BP76" i="1"/>
  <c r="AS76" i="1"/>
  <c r="AR76" i="1"/>
  <c r="AN76" i="1"/>
  <c r="AF76" i="1"/>
  <c r="EP76" i="1" s="1"/>
  <c r="X76" i="1"/>
  <c r="C76" i="1"/>
  <c r="BO76" i="1" s="1"/>
  <c r="CF75" i="1"/>
  <c r="CS75" i="1" s="1"/>
  <c r="BP75" i="1"/>
  <c r="AS75" i="1"/>
  <c r="AR75" i="1"/>
  <c r="AN75" i="1"/>
  <c r="AF75" i="1"/>
  <c r="EP75" i="1" s="1"/>
  <c r="C75" i="1"/>
  <c r="AW75" i="1" s="1"/>
  <c r="CF74" i="1"/>
  <c r="CS74" i="1" s="1"/>
  <c r="BP74" i="1"/>
  <c r="AS74" i="1"/>
  <c r="AR74" i="1"/>
  <c r="AN74" i="1"/>
  <c r="AF74" i="1"/>
  <c r="EP74" i="1" s="1"/>
  <c r="X74" i="1"/>
  <c r="C74" i="1"/>
  <c r="AW74" i="1" s="1"/>
  <c r="CF73" i="1"/>
  <c r="CS73" i="1" s="1"/>
  <c r="BP73" i="1"/>
  <c r="AS73" i="1"/>
  <c r="AR73" i="1"/>
  <c r="AN73" i="1"/>
  <c r="AF73" i="1"/>
  <c r="EP73" i="1" s="1"/>
  <c r="X73" i="1"/>
  <c r="C73" i="1"/>
  <c r="AW73" i="1" s="1"/>
  <c r="CF72" i="1"/>
  <c r="CS72" i="1" s="1"/>
  <c r="BP72" i="1"/>
  <c r="AS72" i="1"/>
  <c r="AR72" i="1"/>
  <c r="AN72" i="1"/>
  <c r="AF72" i="1"/>
  <c r="EP72" i="1" s="1"/>
  <c r="X72" i="1"/>
  <c r="C72" i="1"/>
  <c r="CF71" i="1"/>
  <c r="CS71" i="1" s="1"/>
  <c r="BP71" i="1"/>
  <c r="AS71" i="1"/>
  <c r="AR71" i="1"/>
  <c r="AN71" i="1"/>
  <c r="AF71" i="1"/>
  <c r="EP71" i="1" s="1"/>
  <c r="X71" i="1"/>
  <c r="C71" i="1"/>
  <c r="BO71" i="1" s="1"/>
  <c r="CF70" i="1"/>
  <c r="CS70" i="1" s="1"/>
  <c r="BP70" i="1"/>
  <c r="AS70" i="1"/>
  <c r="AR70" i="1"/>
  <c r="AN70" i="1"/>
  <c r="AF70" i="1"/>
  <c r="EP70" i="1" s="1"/>
  <c r="X70" i="1"/>
  <c r="C70" i="1"/>
  <c r="BO70" i="1" s="1"/>
  <c r="CF69" i="1"/>
  <c r="CS69" i="1" s="1"/>
  <c r="BP69" i="1"/>
  <c r="EP69" i="1"/>
  <c r="C69" i="1"/>
  <c r="AW69" i="1" s="1"/>
  <c r="CF68" i="1"/>
  <c r="CS68" i="1" s="1"/>
  <c r="BP68" i="1"/>
  <c r="EP68" i="1"/>
  <c r="X68" i="1"/>
  <c r="C68" i="1"/>
  <c r="CF67" i="1"/>
  <c r="CS67" i="1" s="1"/>
  <c r="CM67" i="1"/>
  <c r="BP67" i="1"/>
  <c r="EP67" i="1"/>
  <c r="C67" i="1"/>
  <c r="AW67" i="1" s="1"/>
  <c r="CF66" i="1"/>
  <c r="CS66" i="1" s="1"/>
  <c r="BP66" i="1"/>
  <c r="EP66" i="1"/>
  <c r="X66" i="1"/>
  <c r="C66" i="1"/>
  <c r="AW66" i="1" s="1"/>
  <c r="CF65" i="1"/>
  <c r="CS65" i="1" s="1"/>
  <c r="BP65" i="1"/>
  <c r="AS65" i="1"/>
  <c r="AR65" i="1"/>
  <c r="AN65" i="1"/>
  <c r="AF65" i="1"/>
  <c r="EP65" i="1" s="1"/>
  <c r="X65" i="1"/>
  <c r="C65" i="1"/>
  <c r="AW65" i="1" s="1"/>
  <c r="CF64" i="1"/>
  <c r="CS64" i="1" s="1"/>
  <c r="BP64" i="1"/>
  <c r="AS64" i="1"/>
  <c r="AR64" i="1"/>
  <c r="AN64" i="1"/>
  <c r="AF64" i="1"/>
  <c r="EP64" i="1" s="1"/>
  <c r="X64" i="1"/>
  <c r="C64" i="1"/>
  <c r="CF63" i="1"/>
  <c r="CS63" i="1" s="1"/>
  <c r="BP63" i="1"/>
  <c r="AS63" i="1"/>
  <c r="AR63" i="1"/>
  <c r="AN63" i="1"/>
  <c r="AF63" i="1"/>
  <c r="EP63" i="1" s="1"/>
  <c r="X63" i="1"/>
  <c r="C63" i="1"/>
  <c r="BO63" i="1" s="1"/>
  <c r="CF62" i="1"/>
  <c r="CS62" i="1" s="1"/>
  <c r="BP62" i="1"/>
  <c r="AS62" i="1"/>
  <c r="AR62" i="1"/>
  <c r="AN62" i="1"/>
  <c r="AF62" i="1"/>
  <c r="EP62" i="1" s="1"/>
  <c r="X62" i="1"/>
  <c r="C62" i="1"/>
  <c r="BO62" i="1" s="1"/>
  <c r="CF61" i="1"/>
  <c r="CS61" i="1" s="1"/>
  <c r="BP61" i="1"/>
  <c r="AS61" i="1"/>
  <c r="AR61" i="1"/>
  <c r="AN61" i="1"/>
  <c r="AF61" i="1"/>
  <c r="C61" i="1"/>
  <c r="BO61" i="1" s="1"/>
  <c r="CF60" i="1"/>
  <c r="CS60" i="1" s="1"/>
  <c r="BP60" i="1"/>
  <c r="AS60" i="1"/>
  <c r="AR60" i="1"/>
  <c r="AN60" i="1"/>
  <c r="AF60" i="1"/>
  <c r="EP60" i="1" s="1"/>
  <c r="X60" i="1"/>
  <c r="C60" i="1"/>
  <c r="BO60" i="1" s="1"/>
  <c r="CF59" i="1"/>
  <c r="CS59" i="1" s="1"/>
  <c r="BP59" i="1"/>
  <c r="AS59" i="1"/>
  <c r="AR59" i="1"/>
  <c r="AN59" i="1"/>
  <c r="AF59" i="1"/>
  <c r="EP59" i="1" s="1"/>
  <c r="C59" i="1"/>
  <c r="AW59" i="1" s="1"/>
  <c r="CF58" i="1"/>
  <c r="CS58" i="1" s="1"/>
  <c r="BP58" i="1"/>
  <c r="AS58" i="1"/>
  <c r="AR58" i="1"/>
  <c r="AN58" i="1"/>
  <c r="AF58" i="1"/>
  <c r="EP58" i="1" s="1"/>
  <c r="X58" i="1"/>
  <c r="C58" i="1"/>
  <c r="AW58" i="1" s="1"/>
  <c r="CF57" i="1"/>
  <c r="CS57" i="1" s="1"/>
  <c r="BP57" i="1"/>
  <c r="AS57" i="1"/>
  <c r="AR57" i="1"/>
  <c r="AN57" i="1"/>
  <c r="AF57" i="1"/>
  <c r="EP57" i="1" s="1"/>
  <c r="X57" i="1"/>
  <c r="C57" i="1"/>
  <c r="AW57" i="1" s="1"/>
  <c r="CF56" i="1"/>
  <c r="CS56" i="1" s="1"/>
  <c r="BP56" i="1"/>
  <c r="AS56" i="1"/>
  <c r="AR56" i="1"/>
  <c r="AN56" i="1"/>
  <c r="AF56" i="1"/>
  <c r="EP56" i="1" s="1"/>
  <c r="X56" i="1"/>
  <c r="C56" i="1"/>
  <c r="CF55" i="1"/>
  <c r="CS55" i="1" s="1"/>
  <c r="BP55" i="1"/>
  <c r="AS55" i="1"/>
  <c r="AR55" i="1"/>
  <c r="AN55" i="1"/>
  <c r="AF55" i="1"/>
  <c r="EP55" i="1" s="1"/>
  <c r="X55" i="1"/>
  <c r="C55" i="1"/>
  <c r="BO55" i="1" s="1"/>
  <c r="CF54" i="1"/>
  <c r="CS54" i="1" s="1"/>
  <c r="BP54" i="1"/>
  <c r="AS54" i="1"/>
  <c r="AR54" i="1"/>
  <c r="AN54" i="1"/>
  <c r="AF54" i="1"/>
  <c r="EP54" i="1" s="1"/>
  <c r="X54" i="1"/>
  <c r="C54" i="1"/>
  <c r="BO54" i="1" s="1"/>
  <c r="CF53" i="1"/>
  <c r="CS53" i="1" s="1"/>
  <c r="BP53" i="1"/>
  <c r="BO53" i="1"/>
  <c r="AW53" i="1"/>
  <c r="BD53" i="1" s="1"/>
  <c r="AS53" i="1"/>
  <c r="AR53" i="1"/>
  <c r="AN53" i="1"/>
  <c r="AF53" i="1"/>
  <c r="EP53" i="1" s="1"/>
  <c r="X53" i="1"/>
  <c r="A53" i="1"/>
  <c r="CF52" i="1"/>
  <c r="CS52" i="1" s="1"/>
  <c r="BP52" i="1"/>
  <c r="BO52" i="1"/>
  <c r="AW52" i="1"/>
  <c r="AS52" i="1"/>
  <c r="AR52" i="1"/>
  <c r="AN52" i="1"/>
  <c r="AF52" i="1"/>
  <c r="EP52" i="1" s="1"/>
  <c r="X52" i="1"/>
  <c r="A52" i="1"/>
  <c r="CF51" i="1"/>
  <c r="CS51" i="1" s="1"/>
  <c r="CM51" i="1"/>
  <c r="BP51" i="1"/>
  <c r="BO51" i="1"/>
  <c r="AW51" i="1"/>
  <c r="AS51" i="1"/>
  <c r="AR51" i="1"/>
  <c r="AN51" i="1"/>
  <c r="AF51" i="1"/>
  <c r="EP51" i="1" s="1"/>
  <c r="X51" i="1"/>
  <c r="A51" i="1"/>
  <c r="CF50" i="1"/>
  <c r="CS50" i="1" s="1"/>
  <c r="BP50" i="1"/>
  <c r="BO50" i="1"/>
  <c r="AW50" i="1"/>
  <c r="AS50" i="1"/>
  <c r="AR50" i="1"/>
  <c r="AN50" i="1"/>
  <c r="AF50" i="1"/>
  <c r="EP50" i="1" s="1"/>
  <c r="X50" i="1"/>
  <c r="A50" i="1"/>
  <c r="CF49" i="1"/>
  <c r="CS49" i="1" s="1"/>
  <c r="BP49" i="1"/>
  <c r="BO49" i="1"/>
  <c r="AW49" i="1"/>
  <c r="AS49" i="1"/>
  <c r="AR49" i="1"/>
  <c r="AN49" i="1"/>
  <c r="AF49" i="1"/>
  <c r="EP49" i="1" s="1"/>
  <c r="X49" i="1"/>
  <c r="A49" i="1"/>
  <c r="CF48" i="1"/>
  <c r="CS48" i="1" s="1"/>
  <c r="BP48" i="1"/>
  <c r="BO48" i="1"/>
  <c r="AW48" i="1"/>
  <c r="BD48" i="1" s="1"/>
  <c r="AS48" i="1"/>
  <c r="AR48" i="1"/>
  <c r="AN48" i="1"/>
  <c r="AF48" i="1"/>
  <c r="EP48" i="1" s="1"/>
  <c r="A48" i="1"/>
  <c r="CF47" i="1"/>
  <c r="CS47" i="1" s="1"/>
  <c r="BP47" i="1"/>
  <c r="BO47" i="1"/>
  <c r="AW47" i="1"/>
  <c r="AS47" i="1"/>
  <c r="AR47" i="1"/>
  <c r="AN47" i="1"/>
  <c r="AF47" i="1"/>
  <c r="EP47" i="1" s="1"/>
  <c r="X47" i="1"/>
  <c r="A47" i="1"/>
  <c r="CF46" i="1"/>
  <c r="CS46" i="1" s="1"/>
  <c r="BP46" i="1"/>
  <c r="BO46" i="1"/>
  <c r="AW46" i="1"/>
  <c r="AS46" i="1"/>
  <c r="AR46" i="1"/>
  <c r="AN46" i="1"/>
  <c r="AF46" i="1"/>
  <c r="EP46" i="1" s="1"/>
  <c r="X46" i="1"/>
  <c r="A46" i="1"/>
  <c r="CF45" i="1"/>
  <c r="CS45" i="1" s="1"/>
  <c r="BP45" i="1"/>
  <c r="BO45" i="1"/>
  <c r="AW45" i="1"/>
  <c r="AS45" i="1"/>
  <c r="AR45" i="1"/>
  <c r="AN45" i="1"/>
  <c r="AF45" i="1"/>
  <c r="EP45" i="1" s="1"/>
  <c r="X45" i="1"/>
  <c r="A45" i="1"/>
  <c r="CF44" i="1"/>
  <c r="CS44" i="1" s="1"/>
  <c r="BP44" i="1"/>
  <c r="BO44" i="1"/>
  <c r="AW44" i="1"/>
  <c r="BD44" i="1" s="1"/>
  <c r="AS44" i="1"/>
  <c r="AR44" i="1"/>
  <c r="AN44" i="1"/>
  <c r="AF44" i="1"/>
  <c r="EP44" i="1" s="1"/>
  <c r="X44" i="1"/>
  <c r="A44" i="1"/>
  <c r="CF43" i="1"/>
  <c r="CS43" i="1" s="1"/>
  <c r="BP43" i="1"/>
  <c r="BO43" i="1"/>
  <c r="AW43" i="1"/>
  <c r="BD43" i="1" s="1"/>
  <c r="AS43" i="1"/>
  <c r="AR43" i="1"/>
  <c r="AN43" i="1"/>
  <c r="AF43" i="1"/>
  <c r="EP43" i="1" s="1"/>
  <c r="X43" i="1"/>
  <c r="A43" i="1"/>
  <c r="CF42" i="1"/>
  <c r="CS42" i="1" s="1"/>
  <c r="BP42" i="1"/>
  <c r="BO42" i="1"/>
  <c r="AW42" i="1"/>
  <c r="AS42" i="1"/>
  <c r="AR42" i="1"/>
  <c r="AN42" i="1"/>
  <c r="AF42" i="1"/>
  <c r="EP42" i="1" s="1"/>
  <c r="X42" i="1"/>
  <c r="A42" i="1"/>
  <c r="CF41" i="1"/>
  <c r="CS41" i="1" s="1"/>
  <c r="BP41" i="1"/>
  <c r="AS41" i="1"/>
  <c r="AR41" i="1"/>
  <c r="AN41" i="1"/>
  <c r="AF41" i="1"/>
  <c r="EP41" i="1" s="1"/>
  <c r="X41" i="1"/>
  <c r="C41" i="1"/>
  <c r="BO41" i="1" s="1"/>
  <c r="A41" i="1"/>
  <c r="CF40" i="1"/>
  <c r="CS40" i="1" s="1"/>
  <c r="BP40" i="1"/>
  <c r="AS40" i="1"/>
  <c r="AR40" i="1"/>
  <c r="AN40" i="1"/>
  <c r="AF40" i="1"/>
  <c r="EP40" i="1" s="1"/>
  <c r="X40" i="1"/>
  <c r="C40" i="1"/>
  <c r="AW40" i="1" s="1"/>
  <c r="BD40" i="1" s="1"/>
  <c r="A40" i="1"/>
  <c r="CF39" i="1"/>
  <c r="CS39" i="1" s="1"/>
  <c r="BP39" i="1"/>
  <c r="AS39" i="1"/>
  <c r="AR39" i="1"/>
  <c r="AN39" i="1"/>
  <c r="AF39" i="1"/>
  <c r="EP39" i="1" s="1"/>
  <c r="C39" i="1"/>
  <c r="AW39" i="1" s="1"/>
  <c r="BD39" i="1" s="1"/>
  <c r="A39" i="1"/>
  <c r="CF38" i="1"/>
  <c r="CS38" i="1" s="1"/>
  <c r="BP38" i="1"/>
  <c r="AS38" i="1"/>
  <c r="AR38" i="1"/>
  <c r="AN38" i="1"/>
  <c r="AF38" i="1"/>
  <c r="EP38" i="1" s="1"/>
  <c r="X38" i="1"/>
  <c r="C38" i="1"/>
  <c r="AW38" i="1" s="1"/>
  <c r="A38" i="1"/>
  <c r="CF37" i="1"/>
  <c r="CS37" i="1" s="1"/>
  <c r="BP37" i="1"/>
  <c r="AS37" i="1"/>
  <c r="AR37" i="1"/>
  <c r="AN37" i="1"/>
  <c r="AF37" i="1"/>
  <c r="EP37" i="1" s="1"/>
  <c r="X37" i="1"/>
  <c r="C37" i="1"/>
  <c r="AW37" i="1" s="1"/>
  <c r="A37" i="1"/>
  <c r="CF36" i="1"/>
  <c r="CS36" i="1" s="1"/>
  <c r="BP36" i="1"/>
  <c r="AS36" i="1"/>
  <c r="AR36" i="1"/>
  <c r="AN36" i="1"/>
  <c r="AF36" i="1"/>
  <c r="EP36" i="1" s="1"/>
  <c r="X36" i="1"/>
  <c r="C36" i="1"/>
  <c r="BO36" i="1" s="1"/>
  <c r="A36" i="1"/>
  <c r="CF35" i="1"/>
  <c r="CS35" i="1" s="1"/>
  <c r="BP35" i="1"/>
  <c r="AS35" i="1"/>
  <c r="AR35" i="1"/>
  <c r="AN35" i="1"/>
  <c r="AF35" i="1"/>
  <c r="EP35" i="1" s="1"/>
  <c r="X35" i="1"/>
  <c r="C35" i="1"/>
  <c r="BO35" i="1" s="1"/>
  <c r="A35" i="1"/>
  <c r="CF34" i="1"/>
  <c r="CS34" i="1" s="1"/>
  <c r="BP34" i="1"/>
  <c r="AS34" i="1"/>
  <c r="AR34" i="1"/>
  <c r="AN34" i="1"/>
  <c r="AF34" i="1"/>
  <c r="EP34" i="1" s="1"/>
  <c r="X34" i="1"/>
  <c r="C34" i="1"/>
  <c r="BO34" i="1" s="1"/>
  <c r="A34" i="1"/>
  <c r="CF33" i="1"/>
  <c r="CS33" i="1" s="1"/>
  <c r="BP33" i="1"/>
  <c r="AS33" i="1"/>
  <c r="AR33" i="1"/>
  <c r="AN33" i="1"/>
  <c r="AF33" i="1"/>
  <c r="EP33" i="1" s="1"/>
  <c r="C33" i="1"/>
  <c r="BO33" i="1" s="1"/>
  <c r="A33" i="1"/>
  <c r="CF32" i="1"/>
  <c r="CS32" i="1" s="1"/>
  <c r="BP32" i="1"/>
  <c r="AS32" i="1"/>
  <c r="AR32" i="1"/>
  <c r="AN32" i="1"/>
  <c r="AF32" i="1"/>
  <c r="EP32" i="1" s="1"/>
  <c r="X32" i="1"/>
  <c r="C32" i="1"/>
  <c r="AW32" i="1" s="1"/>
  <c r="A32" i="1"/>
  <c r="CF31" i="1"/>
  <c r="CS31" i="1" s="1"/>
  <c r="BP31" i="1"/>
  <c r="AS31" i="1"/>
  <c r="AR31" i="1"/>
  <c r="AN31" i="1"/>
  <c r="AF31" i="1"/>
  <c r="EP31" i="1" s="1"/>
  <c r="X31" i="1"/>
  <c r="C31" i="1"/>
  <c r="AW31" i="1" s="1"/>
  <c r="A31" i="1"/>
  <c r="CF30" i="1"/>
  <c r="CS30" i="1" s="1"/>
  <c r="BP30" i="1"/>
  <c r="AS30" i="1"/>
  <c r="AR30" i="1"/>
  <c r="AN30" i="1"/>
  <c r="AF30" i="1"/>
  <c r="EP30" i="1" s="1"/>
  <c r="X30" i="1"/>
  <c r="C30" i="1"/>
  <c r="AW30" i="1" s="1"/>
  <c r="A30" i="1"/>
  <c r="CF29" i="1"/>
  <c r="CS29" i="1" s="1"/>
  <c r="CM29" i="1"/>
  <c r="BP29" i="1"/>
  <c r="AS29" i="1"/>
  <c r="AR29" i="1"/>
  <c r="AN29" i="1"/>
  <c r="AF29" i="1"/>
  <c r="EP29" i="1" s="1"/>
  <c r="X29" i="1"/>
  <c r="C29" i="1"/>
  <c r="BO29" i="1" s="1"/>
  <c r="A29" i="1"/>
  <c r="CF28" i="1"/>
  <c r="CS28" i="1" s="1"/>
  <c r="BP28" i="1"/>
  <c r="AS28" i="1"/>
  <c r="AR28" i="1"/>
  <c r="AN28" i="1"/>
  <c r="AF28" i="1"/>
  <c r="EP28" i="1" s="1"/>
  <c r="X28" i="1"/>
  <c r="C28" i="1"/>
  <c r="BO28" i="1" s="1"/>
  <c r="A28" i="1"/>
  <c r="CF27" i="1"/>
  <c r="CS27" i="1" s="1"/>
  <c r="BP27" i="1"/>
  <c r="AS27" i="1"/>
  <c r="AR27" i="1"/>
  <c r="AN27" i="1"/>
  <c r="AF27" i="1"/>
  <c r="EP27" i="1" s="1"/>
  <c r="C27" i="1"/>
  <c r="BO27" i="1" s="1"/>
  <c r="A27" i="1"/>
  <c r="CF26" i="1"/>
  <c r="CS26" i="1" s="1"/>
  <c r="BP26" i="1"/>
  <c r="AS26" i="1"/>
  <c r="AR26" i="1"/>
  <c r="AN26" i="1"/>
  <c r="AF26" i="1"/>
  <c r="EP26" i="1" s="1"/>
  <c r="X26" i="1"/>
  <c r="C26" i="1"/>
  <c r="BO26" i="1" s="1"/>
  <c r="A26" i="1"/>
  <c r="CF25" i="1"/>
  <c r="CS25" i="1" s="1"/>
  <c r="BP25" i="1"/>
  <c r="AS25" i="1"/>
  <c r="AR25" i="1"/>
  <c r="AN25" i="1"/>
  <c r="AF25" i="1"/>
  <c r="EP25" i="1" s="1"/>
  <c r="C25" i="1"/>
  <c r="BO25" i="1" s="1"/>
  <c r="A25" i="1"/>
  <c r="CF24" i="1"/>
  <c r="CS24" i="1" s="1"/>
  <c r="BP24" i="1"/>
  <c r="AS24" i="1"/>
  <c r="AR24" i="1"/>
  <c r="AN24" i="1"/>
  <c r="AF24" i="1"/>
  <c r="EP24" i="1" s="1"/>
  <c r="X24" i="1"/>
  <c r="C24" i="1"/>
  <c r="AW24" i="1" s="1"/>
  <c r="A24" i="1"/>
  <c r="CF23" i="1"/>
  <c r="CS23" i="1" s="1"/>
  <c r="BP23" i="1"/>
  <c r="AS23" i="1"/>
  <c r="AR23" i="1"/>
  <c r="AN23" i="1"/>
  <c r="AF23" i="1"/>
  <c r="EP23" i="1" s="1"/>
  <c r="X23" i="1"/>
  <c r="C23" i="1"/>
  <c r="AW23" i="1" s="1"/>
  <c r="A23" i="1"/>
  <c r="CF22" i="1"/>
  <c r="CS22" i="1" s="1"/>
  <c r="BP22" i="1"/>
  <c r="AS22" i="1"/>
  <c r="AR22" i="1"/>
  <c r="AN22" i="1"/>
  <c r="AF22" i="1"/>
  <c r="EP22" i="1" s="1"/>
  <c r="X22" i="1"/>
  <c r="C22" i="1"/>
  <c r="AW22" i="1" s="1"/>
  <c r="A22" i="1"/>
  <c r="CF21" i="1"/>
  <c r="CS21" i="1" s="1"/>
  <c r="BP21" i="1"/>
  <c r="AS21" i="1"/>
  <c r="AR21" i="1"/>
  <c r="AN21" i="1"/>
  <c r="AF21" i="1"/>
  <c r="EP21" i="1" s="1"/>
  <c r="X21" i="1"/>
  <c r="C21" i="1"/>
  <c r="BO21" i="1" s="1"/>
  <c r="A21" i="1"/>
  <c r="CF20" i="1"/>
  <c r="CS20" i="1" s="1"/>
  <c r="BP20" i="1"/>
  <c r="AS20" i="1"/>
  <c r="AR20" i="1"/>
  <c r="AN20" i="1"/>
  <c r="AF20" i="1"/>
  <c r="EP20" i="1" s="1"/>
  <c r="X20" i="1"/>
  <c r="C20" i="1"/>
  <c r="BO20" i="1" s="1"/>
  <c r="A20" i="1"/>
  <c r="CF19" i="1"/>
  <c r="CS19" i="1" s="1"/>
  <c r="BP19" i="1"/>
  <c r="AS19" i="1"/>
  <c r="AR19" i="1"/>
  <c r="AN19" i="1"/>
  <c r="AF19" i="1"/>
  <c r="EP19" i="1" s="1"/>
  <c r="C19" i="1"/>
  <c r="BO19" i="1" s="1"/>
  <c r="A19" i="1"/>
  <c r="CF18" i="1"/>
  <c r="CS18" i="1" s="1"/>
  <c r="BP18" i="1"/>
  <c r="AS18" i="1"/>
  <c r="AR18" i="1"/>
  <c r="AN18" i="1"/>
  <c r="AF18" i="1"/>
  <c r="EP18" i="1" s="1"/>
  <c r="X18" i="1"/>
  <c r="C18" i="1"/>
  <c r="BO18" i="1" s="1"/>
  <c r="A18" i="1"/>
  <c r="CF17" i="1"/>
  <c r="CS17" i="1" s="1"/>
  <c r="BP17" i="1"/>
  <c r="AS17" i="1"/>
  <c r="AR17" i="1"/>
  <c r="AN17" i="1"/>
  <c r="AF17" i="1"/>
  <c r="EP17" i="1" s="1"/>
  <c r="C17" i="1"/>
  <c r="BO17" i="1" s="1"/>
  <c r="A17" i="1"/>
  <c r="CF16" i="1"/>
  <c r="CS16" i="1" s="1"/>
  <c r="BP16" i="1"/>
  <c r="AS16" i="1"/>
  <c r="AR16" i="1"/>
  <c r="AN16" i="1"/>
  <c r="AF16" i="1"/>
  <c r="EP16" i="1" s="1"/>
  <c r="X16" i="1"/>
  <c r="C16" i="1"/>
  <c r="AW16" i="1" s="1"/>
  <c r="A16" i="1"/>
  <c r="CF15" i="1"/>
  <c r="CS15" i="1" s="1"/>
  <c r="BP15" i="1"/>
  <c r="AS15" i="1"/>
  <c r="AR15" i="1"/>
  <c r="AN15" i="1"/>
  <c r="AF15" i="1"/>
  <c r="EP15" i="1" s="1"/>
  <c r="X15" i="1"/>
  <c r="C15" i="1"/>
  <c r="AW15" i="1" s="1"/>
  <c r="A15" i="1"/>
  <c r="CF14" i="1"/>
  <c r="CS14" i="1" s="1"/>
  <c r="BP14" i="1"/>
  <c r="AS14" i="1"/>
  <c r="AR14" i="1"/>
  <c r="AN14" i="1"/>
  <c r="AF14" i="1"/>
  <c r="EP14" i="1" s="1"/>
  <c r="X14" i="1"/>
  <c r="C14" i="1"/>
  <c r="AW14" i="1" s="1"/>
  <c r="A14" i="1"/>
  <c r="CF13" i="1"/>
  <c r="CS13" i="1" s="1"/>
  <c r="CM13" i="1"/>
  <c r="BP13" i="1"/>
  <c r="AS13" i="1"/>
  <c r="AR13" i="1"/>
  <c r="AN13" i="1"/>
  <c r="AF13" i="1"/>
  <c r="EP13" i="1" s="1"/>
  <c r="X13" i="1"/>
  <c r="C13" i="1"/>
  <c r="BO13" i="1" s="1"/>
  <c r="A13" i="1"/>
  <c r="CF12" i="1"/>
  <c r="CS12" i="1" s="1"/>
  <c r="BP12" i="1"/>
  <c r="AS12" i="1"/>
  <c r="AR12" i="1"/>
  <c r="AN12" i="1"/>
  <c r="AF12" i="1"/>
  <c r="EP12" i="1" s="1"/>
  <c r="X12" i="1"/>
  <c r="C12" i="1"/>
  <c r="BO12" i="1" s="1"/>
  <c r="A12" i="1"/>
  <c r="CF11" i="1"/>
  <c r="CS11" i="1" s="1"/>
  <c r="BP11" i="1"/>
  <c r="AS11" i="1"/>
  <c r="AR11" i="1"/>
  <c r="AN11" i="1"/>
  <c r="AF11" i="1"/>
  <c r="EP11" i="1" s="1"/>
  <c r="X11" i="1"/>
  <c r="C11" i="1"/>
  <c r="BO11" i="1" s="1"/>
  <c r="A11" i="1"/>
  <c r="CF10" i="1"/>
  <c r="CS10" i="1" s="1"/>
  <c r="BP10" i="1"/>
  <c r="AS10" i="1"/>
  <c r="AR10" i="1"/>
  <c r="AN10" i="1"/>
  <c r="AF10" i="1"/>
  <c r="EP10" i="1" s="1"/>
  <c r="C10" i="1"/>
  <c r="BO10" i="1" s="1"/>
  <c r="A10" i="1"/>
  <c r="CF9" i="1"/>
  <c r="CS9" i="1" s="1"/>
  <c r="BP9" i="1"/>
  <c r="AS9" i="1"/>
  <c r="AR9" i="1"/>
  <c r="AN9" i="1"/>
  <c r="AF9" i="1"/>
  <c r="EP9" i="1" s="1"/>
  <c r="X9" i="1"/>
  <c r="C9" i="1"/>
  <c r="BO9" i="1" s="1"/>
  <c r="A9" i="1"/>
  <c r="CF8" i="1"/>
  <c r="CS8" i="1" s="1"/>
  <c r="BP8" i="1"/>
  <c r="AS8" i="1"/>
  <c r="AR8" i="1"/>
  <c r="AN8" i="1"/>
  <c r="AF8" i="1"/>
  <c r="EP8" i="1" s="1"/>
  <c r="X8" i="1"/>
  <c r="C8" i="1"/>
  <c r="AW8" i="1" s="1"/>
  <c r="A8" i="1"/>
  <c r="CF7" i="1"/>
  <c r="CS7" i="1" s="1"/>
  <c r="BP7" i="1"/>
  <c r="AS7" i="1"/>
  <c r="AR7" i="1"/>
  <c r="AN7" i="1"/>
  <c r="AF7" i="1"/>
  <c r="EP7" i="1" s="1"/>
  <c r="X7" i="1"/>
  <c r="C7" i="1"/>
  <c r="AW7" i="1" s="1"/>
  <c r="A7" i="1"/>
  <c r="CF6" i="1"/>
  <c r="CS6" i="1" s="1"/>
  <c r="BP6" i="1"/>
  <c r="AS6" i="1"/>
  <c r="AR6" i="1"/>
  <c r="AF6" i="1"/>
  <c r="EP6" i="1" s="1"/>
  <c r="X6" i="1"/>
  <c r="C6" i="1"/>
  <c r="AW6" i="1" s="1"/>
  <c r="A6" i="1"/>
  <c r="BO68" i="1" l="1"/>
  <c r="AW68" i="1"/>
  <c r="BD66" i="1"/>
  <c r="BE66" i="1"/>
  <c r="BE69" i="1"/>
  <c r="BD69" i="1"/>
  <c r="BE67" i="1"/>
  <c r="BD67" i="1"/>
  <c r="CM98" i="1"/>
  <c r="X98" i="1"/>
  <c r="BQ45" i="1"/>
  <c r="BM45" i="1" s="1"/>
  <c r="CM16" i="1"/>
  <c r="CM24" i="1"/>
  <c r="CM96" i="1"/>
  <c r="CM64" i="1"/>
  <c r="BQ18" i="1"/>
  <c r="CM65" i="1"/>
  <c r="CM81" i="1"/>
  <c r="CM25" i="1"/>
  <c r="CM7" i="1"/>
  <c r="CM41" i="1"/>
  <c r="CM57" i="1"/>
  <c r="CM17" i="1"/>
  <c r="CM73" i="1"/>
  <c r="CM89" i="1"/>
  <c r="CM15" i="1"/>
  <c r="CM47" i="1"/>
  <c r="CM63" i="1"/>
  <c r="CM95" i="1"/>
  <c r="CM6" i="1"/>
  <c r="CM14" i="1"/>
  <c r="CM22" i="1"/>
  <c r="CM30" i="1"/>
  <c r="CM38" i="1"/>
  <c r="CM46" i="1"/>
  <c r="CM54" i="1"/>
  <c r="CM62" i="1"/>
  <c r="CM70" i="1"/>
  <c r="CM78" i="1"/>
  <c r="CM86" i="1"/>
  <c r="CM94" i="1"/>
  <c r="CM55" i="1"/>
  <c r="CM87" i="1"/>
  <c r="CM8" i="1"/>
  <c r="CM48" i="1"/>
  <c r="CM56" i="1"/>
  <c r="CM88" i="1"/>
  <c r="CM97" i="1"/>
  <c r="CM39" i="1"/>
  <c r="CM79" i="1"/>
  <c r="CM31" i="1"/>
  <c r="CM80" i="1"/>
  <c r="CM99" i="1"/>
  <c r="CM40" i="1"/>
  <c r="CM71" i="1"/>
  <c r="CM28" i="1"/>
  <c r="CM44" i="1"/>
  <c r="CM52" i="1"/>
  <c r="CM60" i="1"/>
  <c r="CM68" i="1"/>
  <c r="CM76" i="1"/>
  <c r="CM84" i="1"/>
  <c r="CM92" i="1"/>
  <c r="CM23" i="1"/>
  <c r="CM32" i="1"/>
  <c r="CM72" i="1"/>
  <c r="CM100" i="1"/>
  <c r="BE100" i="1"/>
  <c r="BD100" i="1"/>
  <c r="AO31" i="1"/>
  <c r="BQ51" i="1"/>
  <c r="BM51" i="1" s="1"/>
  <c r="BO100" i="1"/>
  <c r="BQ100" i="1" s="1"/>
  <c r="BQ61" i="1"/>
  <c r="AO16" i="1"/>
  <c r="BQ79" i="1"/>
  <c r="BQ41" i="1"/>
  <c r="BQ47" i="1"/>
  <c r="BM47" i="1" s="1"/>
  <c r="BQ62" i="1"/>
  <c r="BQ76" i="1"/>
  <c r="BQ19" i="1"/>
  <c r="BQ55" i="1"/>
  <c r="BQ35" i="1"/>
  <c r="AO62" i="1"/>
  <c r="BQ27" i="1"/>
  <c r="BQ60" i="1"/>
  <c r="BQ68" i="1"/>
  <c r="BQ12" i="1"/>
  <c r="BE43" i="1"/>
  <c r="BQ87" i="1"/>
  <c r="BE53" i="1"/>
  <c r="BQ71" i="1"/>
  <c r="BQ78" i="1"/>
  <c r="BQ44" i="1"/>
  <c r="BM44" i="1" s="1"/>
  <c r="BQ11" i="1"/>
  <c r="AO27" i="1"/>
  <c r="AO61" i="1"/>
  <c r="AO77" i="1"/>
  <c r="AW79" i="1"/>
  <c r="BE79" i="1" s="1"/>
  <c r="BO22" i="1"/>
  <c r="BQ22" i="1" s="1"/>
  <c r="BM22" i="1" s="1"/>
  <c r="BO40" i="1"/>
  <c r="BQ40" i="1" s="1"/>
  <c r="BM40" i="1" s="1"/>
  <c r="BE47" i="1"/>
  <c r="AO48" i="1"/>
  <c r="BE51" i="1"/>
  <c r="AO70" i="1"/>
  <c r="AO25" i="1"/>
  <c r="BE65" i="1"/>
  <c r="BQ80" i="1"/>
  <c r="BQ84" i="1"/>
  <c r="BQ95" i="1"/>
  <c r="BQ20" i="1"/>
  <c r="AW21" i="1"/>
  <c r="BD21" i="1" s="1"/>
  <c r="BE42" i="1"/>
  <c r="AW55" i="1"/>
  <c r="BE55" i="1" s="1"/>
  <c r="BQ21" i="1"/>
  <c r="BQ46" i="1"/>
  <c r="BM46" i="1" s="1"/>
  <c r="AW93" i="1"/>
  <c r="BD93" i="1" s="1"/>
  <c r="AO19" i="1"/>
  <c r="BQ28" i="1"/>
  <c r="BO38" i="1"/>
  <c r="BQ38" i="1" s="1"/>
  <c r="BM38" i="1" s="1"/>
  <c r="BQ50" i="1"/>
  <c r="BM50" i="1" s="1"/>
  <c r="AO98" i="1"/>
  <c r="AO34" i="1"/>
  <c r="AO32" i="1"/>
  <c r="BQ43" i="1"/>
  <c r="BM43" i="1" s="1"/>
  <c r="BQ70" i="1"/>
  <c r="AW76" i="1"/>
  <c r="BD76" i="1" s="1"/>
  <c r="BQ86" i="1"/>
  <c r="BO8" i="1"/>
  <c r="BQ8" i="1" s="1"/>
  <c r="BM8" i="1" s="1"/>
  <c r="BQ10" i="1"/>
  <c r="AW11" i="1"/>
  <c r="BE11" i="1" s="1"/>
  <c r="BQ13" i="1"/>
  <c r="AO17" i="1"/>
  <c r="BQ26" i="1"/>
  <c r="AW27" i="1"/>
  <c r="BE27" i="1" s="1"/>
  <c r="BQ33" i="1"/>
  <c r="BQ63" i="1"/>
  <c r="AO93" i="1"/>
  <c r="BQ25" i="1"/>
  <c r="BQ29" i="1"/>
  <c r="AO33" i="1"/>
  <c r="AO78" i="1"/>
  <c r="BE52" i="1"/>
  <c r="AW61" i="1"/>
  <c r="BD61" i="1" s="1"/>
  <c r="BO77" i="1"/>
  <c r="BQ77" i="1" s="1"/>
  <c r="BM77" i="1" s="1"/>
  <c r="AW19" i="1"/>
  <c r="BE19" i="1" s="1"/>
  <c r="BO37" i="1"/>
  <c r="BQ37" i="1" s="1"/>
  <c r="BM37" i="1" s="1"/>
  <c r="AO26" i="1"/>
  <c r="BQ34" i="1"/>
  <c r="BQ42" i="1"/>
  <c r="BM42" i="1" s="1"/>
  <c r="BE46" i="1"/>
  <c r="BE50" i="1"/>
  <c r="BQ52" i="1"/>
  <c r="BM52" i="1" s="1"/>
  <c r="BE57" i="1"/>
  <c r="BE73" i="1"/>
  <c r="BO98" i="1"/>
  <c r="BQ98" i="1" s="1"/>
  <c r="BE37" i="1"/>
  <c r="BD37" i="1"/>
  <c r="BO6" i="1"/>
  <c r="BQ6" i="1" s="1"/>
  <c r="BM6" i="1" s="1"/>
  <c r="BQ9" i="1"/>
  <c r="AW13" i="1"/>
  <c r="BO14" i="1"/>
  <c r="BQ14" i="1" s="1"/>
  <c r="BM14" i="1" s="1"/>
  <c r="AO24" i="1"/>
  <c r="AW29" i="1"/>
  <c r="BD29" i="1" s="1"/>
  <c r="BO30" i="1"/>
  <c r="BQ30" i="1" s="1"/>
  <c r="BM30" i="1" s="1"/>
  <c r="BD47" i="1"/>
  <c r="BQ49" i="1"/>
  <c r="BM49" i="1" s="1"/>
  <c r="AO51" i="1"/>
  <c r="AW60" i="1"/>
  <c r="AW63" i="1"/>
  <c r="BE63" i="1" s="1"/>
  <c r="BO74" i="1"/>
  <c r="BQ74" i="1" s="1"/>
  <c r="BM74" i="1" s="1"/>
  <c r="AO83" i="1"/>
  <c r="AW84" i="1"/>
  <c r="BD84" i="1" s="1"/>
  <c r="AO85" i="1"/>
  <c r="AO90" i="1"/>
  <c r="BO92" i="1"/>
  <c r="BQ92" i="1" s="1"/>
  <c r="AW70" i="1"/>
  <c r="BD70" i="1" s="1"/>
  <c r="AO82" i="1"/>
  <c r="BO91" i="1"/>
  <c r="BQ91" i="1" s="1"/>
  <c r="BQ96" i="1"/>
  <c r="AO7" i="1"/>
  <c r="X27" i="1"/>
  <c r="AO9" i="1"/>
  <c r="AW10" i="1"/>
  <c r="BE10" i="1" s="1"/>
  <c r="AW12" i="1"/>
  <c r="BD12" i="1" s="1"/>
  <c r="BQ17" i="1"/>
  <c r="AO23" i="1"/>
  <c r="AW26" i="1"/>
  <c r="BE26" i="1" s="1"/>
  <c r="AW28" i="1"/>
  <c r="BD28" i="1" s="1"/>
  <c r="BO32" i="1"/>
  <c r="BQ32" i="1" s="1"/>
  <c r="BM32" i="1" s="1"/>
  <c r="AO38" i="1"/>
  <c r="AO44" i="1"/>
  <c r="BE48" i="1"/>
  <c r="BQ48" i="1"/>
  <c r="BM48" i="1" s="1"/>
  <c r="AO49" i="1"/>
  <c r="AO58" i="1"/>
  <c r="BO67" i="1"/>
  <c r="BQ67" i="1" s="1"/>
  <c r="BM67" i="1" s="1"/>
  <c r="AW86" i="1"/>
  <c r="BE86" i="1" s="1"/>
  <c r="BQ88" i="1"/>
  <c r="BO90" i="1"/>
  <c r="BQ90" i="1" s="1"/>
  <c r="BQ94" i="1"/>
  <c r="AW94" i="1"/>
  <c r="BE94" i="1" s="1"/>
  <c r="AO99" i="1"/>
  <c r="AO18" i="1"/>
  <c r="AW35" i="1"/>
  <c r="BE35" i="1" s="1"/>
  <c r="BO7" i="1"/>
  <c r="BQ7" i="1" s="1"/>
  <c r="BM7" i="1" s="1"/>
  <c r="X19" i="1"/>
  <c r="BO24" i="1"/>
  <c r="BQ24" i="1" s="1"/>
  <c r="BM24" i="1" s="1"/>
  <c r="AW34" i="1"/>
  <c r="BE34" i="1" s="1"/>
  <c r="BD50" i="1"/>
  <c r="BD51" i="1"/>
  <c r="AO53" i="1"/>
  <c r="BO59" i="1"/>
  <c r="BQ59" i="1" s="1"/>
  <c r="BM59" i="1" s="1"/>
  <c r="AW78" i="1"/>
  <c r="BO83" i="1"/>
  <c r="BQ83" i="1" s="1"/>
  <c r="AO86" i="1"/>
  <c r="AO94" i="1"/>
  <c r="BE44" i="1"/>
  <c r="AO8" i="1"/>
  <c r="AO10" i="1"/>
  <c r="BO16" i="1"/>
  <c r="BQ16" i="1" s="1"/>
  <c r="BM16" i="1" s="1"/>
  <c r="AW18" i="1"/>
  <c r="BE18" i="1" s="1"/>
  <c r="AW20" i="1"/>
  <c r="BD20" i="1" s="1"/>
  <c r="BO31" i="1"/>
  <c r="BQ31" i="1" s="1"/>
  <c r="BM31" i="1" s="1"/>
  <c r="AO35" i="1"/>
  <c r="BE39" i="1"/>
  <c r="BE40" i="1"/>
  <c r="AW62" i="1"/>
  <c r="BE62" i="1" s="1"/>
  <c r="BO66" i="1"/>
  <c r="BQ66" i="1" s="1"/>
  <c r="BM66" i="1" s="1"/>
  <c r="BO69" i="1"/>
  <c r="BQ69" i="1" s="1"/>
  <c r="BM69" i="1" s="1"/>
  <c r="AW71" i="1"/>
  <c r="BE71" i="1" s="1"/>
  <c r="AO74" i="1"/>
  <c r="BO82" i="1"/>
  <c r="BQ82" i="1" s="1"/>
  <c r="X94" i="1"/>
  <c r="AO36" i="1"/>
  <c r="AO54" i="1"/>
  <c r="BO15" i="1"/>
  <c r="BQ15" i="1" s="1"/>
  <c r="BM15" i="1" s="1"/>
  <c r="BO23" i="1"/>
  <c r="BQ23" i="1" s="1"/>
  <c r="BM23" i="1" s="1"/>
  <c r="BQ36" i="1"/>
  <c r="AW36" i="1"/>
  <c r="BD36" i="1" s="1"/>
  <c r="AO39" i="1"/>
  <c r="BQ54" i="1"/>
  <c r="AW54" i="1"/>
  <c r="BD54" i="1" s="1"/>
  <c r="BO58" i="1"/>
  <c r="BQ58" i="1" s="1"/>
  <c r="BM58" i="1" s="1"/>
  <c r="BO75" i="1"/>
  <c r="BQ75" i="1" s="1"/>
  <c r="BM75" i="1" s="1"/>
  <c r="BO85" i="1"/>
  <c r="BQ85" i="1" s="1"/>
  <c r="AW87" i="1"/>
  <c r="BE87" i="1" s="1"/>
  <c r="AO91" i="1"/>
  <c r="BQ93" i="1"/>
  <c r="AW95" i="1"/>
  <c r="BE95" i="1" s="1"/>
  <c r="BO99" i="1"/>
  <c r="BQ99" i="1" s="1"/>
  <c r="EO100" i="1"/>
  <c r="EP100" i="1" s="1"/>
  <c r="BE7" i="1"/>
  <c r="BD7" i="1"/>
  <c r="BD14" i="1"/>
  <c r="BE14" i="1"/>
  <c r="BE15" i="1"/>
  <c r="BD15" i="1"/>
  <c r="BE16" i="1"/>
  <c r="BD16" i="1"/>
  <c r="BD30" i="1"/>
  <c r="BE30" i="1"/>
  <c r="BE31" i="1"/>
  <c r="BD31" i="1"/>
  <c r="BE24" i="1"/>
  <c r="BD24" i="1"/>
  <c r="BD6" i="1"/>
  <c r="BE6" i="1"/>
  <c r="BD22" i="1"/>
  <c r="BE22" i="1"/>
  <c r="BE23" i="1"/>
  <c r="BD23" i="1"/>
  <c r="BE32" i="1"/>
  <c r="BD32" i="1"/>
  <c r="BE8" i="1"/>
  <c r="BD8" i="1"/>
  <c r="BE38" i="1"/>
  <c r="BD38" i="1"/>
  <c r="AO15" i="1"/>
  <c r="BE45" i="1"/>
  <c r="BD45" i="1"/>
  <c r="BE81" i="1"/>
  <c r="BD81" i="1"/>
  <c r="AO6" i="1"/>
  <c r="AO14" i="1"/>
  <c r="AO22" i="1"/>
  <c r="AO30" i="1"/>
  <c r="AW41" i="1"/>
  <c r="BD57" i="1"/>
  <c r="BE91" i="1"/>
  <c r="BD91" i="1"/>
  <c r="BO72" i="1"/>
  <c r="BQ72" i="1" s="1"/>
  <c r="AW72" i="1"/>
  <c r="BE85" i="1"/>
  <c r="BD85" i="1"/>
  <c r="AW9" i="1"/>
  <c r="X10" i="1"/>
  <c r="AO13" i="1"/>
  <c r="AW17" i="1"/>
  <c r="AO21" i="1"/>
  <c r="AW25" i="1"/>
  <c r="AO29" i="1"/>
  <c r="AW33" i="1"/>
  <c r="AO37" i="1"/>
  <c r="X39" i="1"/>
  <c r="AO40" i="1"/>
  <c r="BD46" i="1"/>
  <c r="AO47" i="1"/>
  <c r="BD73" i="1"/>
  <c r="BE90" i="1"/>
  <c r="BD90" i="1"/>
  <c r="BE77" i="1"/>
  <c r="BD77" i="1"/>
  <c r="AO12" i="1"/>
  <c r="X17" i="1"/>
  <c r="AO20" i="1"/>
  <c r="X25" i="1"/>
  <c r="AO28" i="1"/>
  <c r="X33" i="1"/>
  <c r="BD42" i="1"/>
  <c r="AO43" i="1"/>
  <c r="X48" i="1"/>
  <c r="AO55" i="1"/>
  <c r="BD65" i="1"/>
  <c r="BE83" i="1"/>
  <c r="BD83" i="1"/>
  <c r="BE49" i="1"/>
  <c r="BD49" i="1"/>
  <c r="AO52" i="1"/>
  <c r="AO11" i="1"/>
  <c r="BO39" i="1"/>
  <c r="BQ39" i="1" s="1"/>
  <c r="BM39" i="1" s="1"/>
  <c r="AO45" i="1"/>
  <c r="AO50" i="1"/>
  <c r="BO56" i="1"/>
  <c r="BQ56" i="1" s="1"/>
  <c r="AW56" i="1"/>
  <c r="BE59" i="1"/>
  <c r="BD59" i="1"/>
  <c r="AO79" i="1"/>
  <c r="BE82" i="1"/>
  <c r="BD82" i="1"/>
  <c r="BE97" i="1"/>
  <c r="BD97" i="1"/>
  <c r="X67" i="1"/>
  <c r="AO41" i="1"/>
  <c r="AO46" i="1"/>
  <c r="AO59" i="1"/>
  <c r="X59" i="1"/>
  <c r="AO63" i="1"/>
  <c r="BE75" i="1"/>
  <c r="BD75" i="1"/>
  <c r="BE74" i="1"/>
  <c r="BD74" i="1"/>
  <c r="BE98" i="1"/>
  <c r="BD98" i="1"/>
  <c r="AO42" i="1"/>
  <c r="BQ53" i="1"/>
  <c r="BM53" i="1" s="1"/>
  <c r="BE58" i="1"/>
  <c r="BD58" i="1"/>
  <c r="BO64" i="1"/>
  <c r="BQ64" i="1" s="1"/>
  <c r="AW64" i="1"/>
  <c r="AO71" i="1"/>
  <c r="AO75" i="1"/>
  <c r="X75" i="1"/>
  <c r="BE89" i="1"/>
  <c r="BD89" i="1"/>
  <c r="BE99" i="1"/>
  <c r="BE92" i="1"/>
  <c r="AO87" i="1"/>
  <c r="AO95" i="1"/>
  <c r="AO60" i="1"/>
  <c r="AO76" i="1"/>
  <c r="AW80" i="1"/>
  <c r="AO84" i="1"/>
  <c r="AW88" i="1"/>
  <c r="AO92" i="1"/>
  <c r="AW96" i="1"/>
  <c r="AO57" i="1"/>
  <c r="BO57" i="1"/>
  <c r="BQ57" i="1" s="1"/>
  <c r="BM57" i="1" s="1"/>
  <c r="X61" i="1"/>
  <c r="AO65" i="1"/>
  <c r="BO65" i="1"/>
  <c r="BQ65" i="1" s="1"/>
  <c r="BM65" i="1" s="1"/>
  <c r="X69" i="1"/>
  <c r="AO73" i="1"/>
  <c r="BO73" i="1"/>
  <c r="BQ73" i="1" s="1"/>
  <c r="BM73" i="1" s="1"/>
  <c r="X77" i="1"/>
  <c r="AO81" i="1"/>
  <c r="BO81" i="1"/>
  <c r="BQ81" i="1" s="1"/>
  <c r="X85" i="1"/>
  <c r="AO89" i="1"/>
  <c r="BO89" i="1"/>
  <c r="BQ89" i="1" s="1"/>
  <c r="X93" i="1"/>
  <c r="AO97" i="1"/>
  <c r="BO97" i="1"/>
  <c r="BQ97" i="1" s="1"/>
  <c r="EP61" i="1"/>
  <c r="EP93" i="1"/>
  <c r="BD52" i="1"/>
  <c r="AO56" i="1"/>
  <c r="AO64" i="1"/>
  <c r="AO72" i="1"/>
  <c r="AO80" i="1"/>
  <c r="AO88" i="1"/>
  <c r="AO96" i="1"/>
  <c r="BD68" i="1" l="1"/>
  <c r="BE68" i="1"/>
  <c r="BM60" i="1"/>
  <c r="BM41" i="1"/>
  <c r="BE70" i="1"/>
  <c r="BM10" i="1"/>
  <c r="BD86" i="1"/>
  <c r="X100" i="1"/>
  <c r="BD26" i="1"/>
  <c r="BM55" i="1"/>
  <c r="BM12" i="1"/>
  <c r="BM21" i="1"/>
  <c r="BD71" i="1"/>
  <c r="BE93" i="1"/>
  <c r="BM26" i="1"/>
  <c r="BE61" i="1"/>
  <c r="BE84" i="1"/>
  <c r="BM62" i="1"/>
  <c r="BE78" i="1"/>
  <c r="BM13" i="1"/>
  <c r="BE21" i="1"/>
  <c r="BD62" i="1"/>
  <c r="BM33" i="1"/>
  <c r="BE12" i="1"/>
  <c r="BD55" i="1"/>
  <c r="BM76" i="1"/>
  <c r="BD18" i="1"/>
  <c r="BE28" i="1"/>
  <c r="BM18" i="1"/>
  <c r="BD79" i="1"/>
  <c r="BE76" i="1"/>
  <c r="BM27" i="1"/>
  <c r="BM63" i="1"/>
  <c r="BM25" i="1"/>
  <c r="BD19" i="1"/>
  <c r="BM61" i="1"/>
  <c r="BD63" i="1"/>
  <c r="BD35" i="1"/>
  <c r="BD94" i="1"/>
  <c r="BE54" i="1"/>
  <c r="BD11" i="1"/>
  <c r="BM19" i="1"/>
  <c r="BM11" i="1"/>
  <c r="BM68" i="1"/>
  <c r="BM9" i="1"/>
  <c r="BD78" i="1"/>
  <c r="BD10" i="1"/>
  <c r="BD27" i="1"/>
  <c r="BM71" i="1"/>
  <c r="BE29" i="1"/>
  <c r="BM35" i="1"/>
  <c r="BE36" i="1"/>
  <c r="BE20" i="1"/>
  <c r="BM20" i="1"/>
  <c r="BM28" i="1"/>
  <c r="BD60" i="1"/>
  <c r="BE60" i="1"/>
  <c r="BM34" i="1"/>
  <c r="BM70" i="1"/>
  <c r="BD13" i="1"/>
  <c r="BE13" i="1"/>
  <c r="BM29" i="1"/>
  <c r="BM54" i="1"/>
  <c r="BD95" i="1"/>
  <c r="BD34" i="1"/>
  <c r="BD87" i="1"/>
  <c r="BM36" i="1"/>
  <c r="BE96" i="1"/>
  <c r="BD96" i="1"/>
  <c r="BE88" i="1"/>
  <c r="BD88" i="1"/>
  <c r="BE17" i="1"/>
  <c r="BD17" i="1"/>
  <c r="BM72" i="1"/>
  <c r="BE72" i="1"/>
  <c r="BD72" i="1"/>
  <c r="BE80" i="1"/>
  <c r="BD80" i="1"/>
  <c r="BE33" i="1"/>
  <c r="BD33" i="1"/>
  <c r="BE64" i="1"/>
  <c r="BD64" i="1"/>
  <c r="BE56" i="1"/>
  <c r="BD56" i="1"/>
  <c r="BM64" i="1"/>
  <c r="BM56" i="1"/>
  <c r="BE9" i="1"/>
  <c r="BD9" i="1"/>
  <c r="BM17" i="1"/>
  <c r="BE25" i="1"/>
  <c r="BD25" i="1"/>
  <c r="BE41" i="1"/>
  <c r="BD41" i="1"/>
  <c r="AO100" i="1" l="1"/>
  <c r="DT100" i="1" l="1"/>
  <c r="DV100" i="1"/>
  <c r="DF1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Agustina Lesce</author>
    <author>Micaela Baratto</author>
  </authors>
  <commentList>
    <comment ref="CH88" authorId="0" shapeId="0" xr:uid="{6126304C-0144-4F0E-ABB6-C3E208F8FE12}">
      <text>
        <r>
          <rPr>
            <sz val="9"/>
            <color indexed="81"/>
            <rFont val="Tahoma"/>
            <family val="2"/>
          </rPr>
          <t xml:space="preserve">59.248 GWh a 
91.686 u$s/MWh
--------
5.715 GWh modo devolución
</t>
        </r>
      </text>
    </comment>
    <comment ref="CN91" authorId="1" shapeId="0" xr:uid="{E36A34D0-0C24-464E-987B-2BFE4453BBF7}">
      <text>
        <r>
          <rPr>
            <sz val="9"/>
            <color indexed="81"/>
            <rFont val="Tahoma"/>
            <family val="2"/>
          </rPr>
          <t>479.4 GWh a 
70.57 u$s/MWh
--------
1.606 GWh Modo devolución</t>
        </r>
      </text>
    </comment>
    <comment ref="CN92" authorId="1" shapeId="0" xr:uid="{FBBF35F1-5F7E-4355-B88B-D253499C45E9}">
      <text>
        <r>
          <rPr>
            <sz val="9"/>
            <color indexed="81"/>
            <rFont val="Tahoma"/>
            <family val="2"/>
          </rPr>
          <t>90.8 GWh a 
93.22 u$s/MWh
--------
21.057 GWh Modo devolución</t>
        </r>
      </text>
    </comment>
    <comment ref="CN95" authorId="0" shapeId="0" xr:uid="{45BFAA21-3489-486F-999B-61D15D9E51F4}">
      <text>
        <r>
          <rPr>
            <sz val="9"/>
            <color indexed="81"/>
            <rFont val="Tahoma"/>
            <family val="2"/>
          </rPr>
          <t>593.57 GWh a 
109.327 u$s/MWh
--------
2.412 GWh Modo devolución</t>
        </r>
      </text>
    </comment>
    <comment ref="CN96" authorId="0" shapeId="0" xr:uid="{4937EDF5-6FB6-4E9E-8829-9B3895485785}">
      <text>
        <r>
          <rPr>
            <sz val="9"/>
            <color indexed="81"/>
            <rFont val="Tahoma"/>
            <family val="2"/>
          </rPr>
          <t>1128.884 GWh a 
104.68 u$s/MWh
--------
4.493 GWh Modo devolución</t>
        </r>
      </text>
    </comment>
    <comment ref="CH99" authorId="0" shapeId="0" xr:uid="{36B3250E-5942-48AA-A17F-B47C2600EE62}">
      <text>
        <r>
          <rPr>
            <sz val="9"/>
            <color indexed="81"/>
            <rFont val="Tahoma"/>
            <family val="2"/>
          </rPr>
          <t>Modo devolución</t>
        </r>
      </text>
    </comment>
    <comment ref="CY100" authorId="0" shapeId="0" xr:uid="{1467BD6F-3354-45AC-982B-46C94CA62A6F}">
      <text>
        <r>
          <rPr>
            <b/>
            <sz val="9"/>
            <color indexed="81"/>
            <rFont val="Tahoma"/>
            <family val="2"/>
          </rPr>
          <t xml:space="preserve">Precio Monómico Grandes Usuarios del MEM
</t>
        </r>
      </text>
    </comment>
    <comment ref="CY101" authorId="0" shapeId="0" xr:uid="{07F7DFD7-3FC7-4E80-9E23-B7DD0A02D39E}">
      <text>
        <r>
          <rPr>
            <b/>
            <sz val="9"/>
            <color indexed="81"/>
            <rFont val="Tahoma"/>
            <family val="2"/>
          </rPr>
          <t xml:space="preserve">Precio Monómico Grandes Usuarios del MEM
</t>
        </r>
      </text>
    </comment>
    <comment ref="CY102" authorId="0" shapeId="0" xr:uid="{381530FA-D08D-4141-8E52-A1A014A9FB93}">
      <text>
        <r>
          <rPr>
            <b/>
            <sz val="9"/>
            <color indexed="81"/>
            <rFont val="Tahoma"/>
            <family val="2"/>
          </rPr>
          <t xml:space="preserve">Precio Monómico Grandes Usuarios del MEM
</t>
        </r>
      </text>
    </comment>
    <comment ref="CY103" authorId="0" shapeId="0" xr:uid="{73375319-4F51-442E-8DAB-40E5F46F8A7D}">
      <text>
        <r>
          <rPr>
            <b/>
            <sz val="9"/>
            <color indexed="81"/>
            <rFont val="Tahoma"/>
            <family val="2"/>
          </rPr>
          <t xml:space="preserve">Precio Monómico Grandes Usuarios del MEM
</t>
        </r>
      </text>
    </comment>
  </commentList>
</comments>
</file>

<file path=xl/sharedStrings.xml><?xml version="1.0" encoding="utf-8"?>
<sst xmlns="http://schemas.openxmlformats.org/spreadsheetml/2006/main" count="374" uniqueCount="191">
  <si>
    <t>VARIABLES NO MEM</t>
  </si>
  <si>
    <t>TEMPERATURA</t>
  </si>
  <si>
    <t>DEMANDA</t>
  </si>
  <si>
    <t>POT MAX</t>
  </si>
  <si>
    <t>GENERACIÓN ASIGNADA</t>
  </si>
  <si>
    <t>GENERACIÓN MAT + SPOT</t>
  </si>
  <si>
    <t>GENERACIÓN POR FUENTE</t>
  </si>
  <si>
    <t>CONSUMO COMBUSTIBLES</t>
  </si>
  <si>
    <t>DETALLE GAS NATURAL</t>
  </si>
  <si>
    <t>PRECIOS COMBUSTIBLES</t>
  </si>
  <si>
    <t>ENERGÍA INTERCAMBIOS</t>
  </si>
  <si>
    <t>PRECIOS INTERCAMBIOS</t>
  </si>
  <si>
    <t>PRECIOS MONÓMICO SPOT</t>
  </si>
  <si>
    <t>Fuentes =&gt;</t>
  </si>
  <si>
    <t>Tipo de Cambio definido quincenalmente por la programación estacional</t>
  </si>
  <si>
    <t>Tipo de Cambio BCRA último día hábil del mes</t>
  </si>
  <si>
    <t xml:space="preserve">Promedio mensual https://www.eia.gov/dnav/pet/pet_pri_spt_s1_m.htm </t>
  </si>
  <si>
    <t>Temperatura media región GBA – Fuente SMN</t>
  </si>
  <si>
    <t>Informe Sintesis Mensual - Sección DEMANDA</t>
  </si>
  <si>
    <t>Informe Sintesis Mensual - Sección GENERACIÓN</t>
  </si>
  <si>
    <t>Informe Sintesis Mensual - Sección COMBUSTIBLES</t>
  </si>
  <si>
    <r>
      <t xml:space="preserve">(*) Precio medio estimado de acuerdo al </t>
    </r>
    <r>
      <rPr>
        <sz val="8"/>
        <color rgb="FF000000"/>
        <rFont val="Proxima Nova Rg"/>
        <family val="3"/>
      </rPr>
      <t>mix entre los precios por cuenca, precios obtenidos de la licitación, y precio real Bolivia-GNL en central.</t>
    </r>
  </si>
  <si>
    <r>
      <t>(**) Precio medio representativo del combustible en Stock</t>
    </r>
    <r>
      <rPr>
        <sz val="8"/>
        <color rgb="FF000000"/>
        <rFont val="Proxima Nova Rg"/>
        <family val="3"/>
      </rPr>
      <t xml:space="preserve"> (precio medio calculado entre la valorización del stock en tanques y nuevas compras. Contempla Producto + Flete)</t>
    </r>
  </si>
  <si>
    <t>[$ar/usd]</t>
  </si>
  <si>
    <t>[U$s / barril WTI]</t>
  </si>
  <si>
    <t>[U$s / barril Brent]</t>
  </si>
  <si>
    <t>[GWh]</t>
  </si>
  <si>
    <t>[MW]</t>
  </si>
  <si>
    <t>%</t>
  </si>
  <si>
    <t>[Mm3/d]</t>
  </si>
  <si>
    <t>[Mil Ton]</t>
  </si>
  <si>
    <t>[Miles m3]</t>
  </si>
  <si>
    <t>[Kcal/KWh]</t>
  </si>
  <si>
    <t>u$s/MWh</t>
  </si>
  <si>
    <t>AÑO</t>
  </si>
  <si>
    <t>MES</t>
  </si>
  <si>
    <t>N° DÍAS</t>
  </si>
  <si>
    <t>Tipo de Cambio Promedio Quincenal</t>
  </si>
  <si>
    <t>Tipo de Cambio</t>
  </si>
  <si>
    <t>Barril de petróleo</t>
  </si>
  <si>
    <t>Temp Media</t>
  </si>
  <si>
    <t>Temp MAX</t>
  </si>
  <si>
    <t>Temp MIN</t>
  </si>
  <si>
    <t>Temp HIST</t>
  </si>
  <si>
    <t>Residencial</t>
  </si>
  <si>
    <t>TOTAL ESTACIONALIZADA</t>
  </si>
  <si>
    <t>GUDI</t>
  </si>
  <si>
    <t>GUME</t>
  </si>
  <si>
    <t>GUMA</t>
  </si>
  <si>
    <t>TOTAL NO ESTACIONALIZADA</t>
  </si>
  <si>
    <t>DEMANDA LOCAL</t>
  </si>
  <si>
    <t>Exportación</t>
  </si>
  <si>
    <t>DEMANDA + EXP</t>
  </si>
  <si>
    <t>Potencia Máxima Bruta</t>
  </si>
  <si>
    <t>Hidro Binacional - YAC</t>
  </si>
  <si>
    <t>Hidro Binacional - SG</t>
  </si>
  <si>
    <t xml:space="preserve">Hidro Nacional </t>
  </si>
  <si>
    <t xml:space="preserve">Nuclear </t>
  </si>
  <si>
    <t xml:space="preserve">Renovable PPA </t>
  </si>
  <si>
    <t xml:space="preserve">Térmica PPA </t>
  </si>
  <si>
    <t>Importación</t>
  </si>
  <si>
    <t>Total Generación Asignada</t>
  </si>
  <si>
    <t>Renovable MAT</t>
  </si>
  <si>
    <t>Hidro MAT</t>
  </si>
  <si>
    <t>Térmico MAT</t>
  </si>
  <si>
    <t>Total MAT</t>
  </si>
  <si>
    <t xml:space="preserve">Hidro Provincial </t>
  </si>
  <si>
    <t xml:space="preserve">Térmica Convencional </t>
  </si>
  <si>
    <t xml:space="preserve">FONINVEMEM 1 </t>
  </si>
  <si>
    <t>Excedente Contratos</t>
  </si>
  <si>
    <t>Total SPOT</t>
  </si>
  <si>
    <t>Total Generación No Asignada</t>
  </si>
  <si>
    <t xml:space="preserve">Oferta Total Mensual </t>
  </si>
  <si>
    <t>Térmica</t>
  </si>
  <si>
    <t>Nuclear</t>
  </si>
  <si>
    <t>Renovable</t>
  </si>
  <si>
    <t>Total Generación</t>
  </si>
  <si>
    <t>HI &gt; 50</t>
  </si>
  <si>
    <t>Renovable HI &lt; 50</t>
  </si>
  <si>
    <t>Renovable EO</t>
  </si>
  <si>
    <t>Renovable FV</t>
  </si>
  <si>
    <t>Renovable Biomasa</t>
  </si>
  <si>
    <t>Renovable Biogas</t>
  </si>
  <si>
    <t>Generación Renovable Según Ley 26 190</t>
  </si>
  <si>
    <t>% Participación REN/DEM</t>
  </si>
  <si>
    <t>GAS NATURAL</t>
  </si>
  <si>
    <t>GAS NATURAL Nacional</t>
  </si>
  <si>
    <t>GAS NATURAL Importado</t>
  </si>
  <si>
    <t>FUEL OIL</t>
  </si>
  <si>
    <t>GAS OIL</t>
  </si>
  <si>
    <t>CARBÓN MINERAL</t>
  </si>
  <si>
    <t>TOTAL EQUI. GN</t>
  </si>
  <si>
    <t>GAS NATURAL Nacional Acuerdo</t>
  </si>
  <si>
    <t>GAS NATURAL Importado Acuerdo</t>
  </si>
  <si>
    <t>GAS NATURAL Nacional Propio</t>
  </si>
  <si>
    <t>GAS NATURAL Importado Propio</t>
  </si>
  <si>
    <t>CEM TER</t>
  </si>
  <si>
    <t>CEM OFERTA TOT</t>
  </si>
  <si>
    <t xml:space="preserve">GAS NATURAL (*) </t>
  </si>
  <si>
    <t>FUEL OIL (**)</t>
  </si>
  <si>
    <t>GAS OIL (**)</t>
  </si>
  <si>
    <t>COMB ALT (FO+GO+CM)</t>
  </si>
  <si>
    <t>COMB TOTAL</t>
  </si>
  <si>
    <t>Exportación Brasil Acuerdo</t>
  </si>
  <si>
    <t>Exportación Brasil Modo Devolución/Emergencia</t>
  </si>
  <si>
    <t>Exportación Chile</t>
  </si>
  <si>
    <t>Exportación Paraguay</t>
  </si>
  <si>
    <t>Exportación Uruguay</t>
  </si>
  <si>
    <t>Exportación Bolivia</t>
  </si>
  <si>
    <t>Exportación TOTAL</t>
  </si>
  <si>
    <t>Importación Brasil Acuerdo</t>
  </si>
  <si>
    <t>Importación Brasil Modo Devolución/Emergencia</t>
  </si>
  <si>
    <t>Importación Chile</t>
  </si>
  <si>
    <t>Importación Paraguay</t>
  </si>
  <si>
    <t>Importación Uruguay</t>
  </si>
  <si>
    <t>Importación Bolivia</t>
  </si>
  <si>
    <t>Importación TOTAL</t>
  </si>
  <si>
    <t>Exportación Brasil</t>
  </si>
  <si>
    <t>Importación Brasil</t>
  </si>
  <si>
    <t>ENERGÍA</t>
  </si>
  <si>
    <t>POTENCIA</t>
  </si>
  <si>
    <t>SERVICIOS</t>
  </si>
  <si>
    <t>Transporte</t>
  </si>
  <si>
    <t>Precio Monómico (Energía + Potencia + Transporte)</t>
  </si>
  <si>
    <t>DETALLE RENOVABLES</t>
  </si>
  <si>
    <t>[°C]</t>
  </si>
  <si>
    <t>[%]</t>
  </si>
  <si>
    <t>[u$s/MBTu]</t>
  </si>
  <si>
    <t>[u$s/Ton]</t>
  </si>
  <si>
    <t>[u$s/m3]</t>
  </si>
  <si>
    <t>[MM u$s]</t>
  </si>
  <si>
    <t>[u$s/MWh]</t>
  </si>
  <si>
    <t>COSTO MARGINAL OPERADO</t>
  </si>
  <si>
    <t>PRECIO ESTACIONAL</t>
  </si>
  <si>
    <t>PRECIOS MEDIOS REPRESENTATIVOS POR TIPO DEMANDA</t>
  </si>
  <si>
    <t>COBERTURA</t>
  </si>
  <si>
    <t>$/MWh</t>
  </si>
  <si>
    <t>$ar/MWh</t>
  </si>
  <si>
    <t>GWh</t>
  </si>
  <si>
    <t>Costo Marginal Operado (CMO)</t>
  </si>
  <si>
    <t>Precio Monómico Estacional (ENE+POT+TRANSP+Cargos Res. 976/2023)</t>
  </si>
  <si>
    <t>Precio Monómico Estacional</t>
  </si>
  <si>
    <t>% Cobertura</t>
  </si>
  <si>
    <t>% Cobertura Total</t>
  </si>
  <si>
    <t>DEMANDA ESTACIONALIZADA</t>
  </si>
  <si>
    <t>No Residencial</t>
  </si>
  <si>
    <t>A partir de Noviembre 2025 por RESOLUCIÓN SE. 400/2025</t>
  </si>
  <si>
    <t>Costo Mercado Asignado</t>
  </si>
  <si>
    <t>DEMANDA SPOT</t>
  </si>
  <si>
    <t>COBERTURA DEMANDA ESTACIONALIZADA</t>
  </si>
  <si>
    <t>COBERTURA DEMANDA SPOT</t>
  </si>
  <si>
    <t>Demanda Residencial cubierta</t>
  </si>
  <si>
    <t>Demanda No Residencial cubierta</t>
  </si>
  <si>
    <t>Demanda cubierta</t>
  </si>
  <si>
    <t>ESTIMACIÓN INGRESOS</t>
  </si>
  <si>
    <t>DEMANDA ESTACIONALIZADA (ponderado por tarifas)</t>
  </si>
  <si>
    <t>DETALLE</t>
  </si>
  <si>
    <t>Gas Provisto / Gas Acuerdo desde Noviembre 2025</t>
  </si>
  <si>
    <t>A partir de Noviembre 2025 definido por RESOLUCIÓN SE. 400/2025</t>
  </si>
  <si>
    <t>Resumen físico y económico (PEST+Cargos)</t>
  </si>
  <si>
    <t>Demanda Estacional GWh</t>
  </si>
  <si>
    <t>RESIDENCIAL NIVEL 1</t>
  </si>
  <si>
    <t>RESIDENCIAL NIVEL 2 / NIVEL 2 BASE desde Jun'24</t>
  </si>
  <si>
    <t>RESIDENCIAL NIVEL 2 EXCEDENTE (desde Jun´24)</t>
  </si>
  <si>
    <t>RESIDENCIAL NIVEL 3 BASE</t>
  </si>
  <si>
    <t>RESIDENCIAL NIVEL 3 EXCEDENTE</t>
  </si>
  <si>
    <t>TARIFA BASE ELECTRODEPEND Y BOMBEROS VOLUNTAR</t>
  </si>
  <si>
    <t>CLUBES DE BARRIO Y PRODUCCION AGRICOLA</t>
  </si>
  <si>
    <t>TARIFA USU.NO RES. HASTA 10KW Y &lt;=800KWH/MES</t>
  </si>
  <si>
    <t>TARIFA USU.NO RES. HASTA 10 KW Y &gt; 800KWH/MES</t>
  </si>
  <si>
    <t>TARIFA USUARIO NO RES.&gt;10 KW Y &lt; DE 300 KW</t>
  </si>
  <si>
    <t>Alumbrado Público</t>
  </si>
  <si>
    <t>Comercial</t>
  </si>
  <si>
    <t>TARIFA USUARIO NO RESIDENCIAL &gt;=300KW S Y E</t>
  </si>
  <si>
    <t>TARIFA USUARIO NO RESIDENCIAL &gt;=300KW</t>
  </si>
  <si>
    <t>Industrial</t>
  </si>
  <si>
    <t>TOTAL Demanda Estacional</t>
  </si>
  <si>
    <t>Millones de Pesos</t>
  </si>
  <si>
    <t>TARIFA USUARIO NO RESIDENCIAL &gt;=300KW - CARGOS Res. 976/2023</t>
  </si>
  <si>
    <t>TARIFA USUARIO NO RESIDENCIAL &gt;=300KW TOTAL (+cargos)</t>
  </si>
  <si>
    <t>Industrial  (+cargos)</t>
  </si>
  <si>
    <t>TOTAL PEST + Cargos Res. 976/2023</t>
  </si>
  <si>
    <t>Resumen 2023 - 2026 Demanda Estacional</t>
  </si>
  <si>
    <t>RESIDENCIAL CON SUBSIDIO BASE (desde Enero 2026)</t>
  </si>
  <si>
    <t>RESIDENCIAL CON SUBSIDIO EXCEDENTE (desde Enero 2026)</t>
  </si>
  <si>
    <t>RESIDENCIAL SIN SUBSIDIO (desde Enero 2026)</t>
  </si>
  <si>
    <t>Residencial con subsidio Base</t>
  </si>
  <si>
    <t>Residencial con subsidio Exc</t>
  </si>
  <si>
    <t>Residencial sin subsidio</t>
  </si>
  <si>
    <t>Residencial total</t>
  </si>
  <si>
    <t>MATE DISTRIBUIDOR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</si>
</sst>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0.0%"/>
    <numFmt numFmtId="167" formatCode="#,##0.0"/>
    <numFmt numFmtId="168" formatCode="_(* #,##0_);_(* \(#,##0\);_(* &quot;-&quot;??_);_(@_)"/>
  </numFmts>
  <fonts count="33" x14ac:knownFonts="1">
    <font>
      <sz val="11"/>
      <color theme="1"/>
      <name val="Proxima Nova Rg"/>
      <family val="2"/>
      <scheme val="minor"/>
    </font>
    <font>
      <sz val="11"/>
      <color theme="1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sz val="18"/>
      <color theme="1"/>
      <name val="Proxima Nova Rg"/>
      <family val="3"/>
    </font>
    <font>
      <sz val="18"/>
      <color theme="3"/>
      <name val="Proxima Nova Rg"/>
      <family val="3"/>
    </font>
    <font>
      <sz val="18"/>
      <color rgb="FF000000"/>
      <name val="Proxima Nova Rg"/>
      <family val="3"/>
    </font>
    <font>
      <sz val="11"/>
      <color theme="1"/>
      <name val="Proxima Nova Rg"/>
      <family val="3"/>
    </font>
    <font>
      <sz val="11"/>
      <color rgb="FF000000"/>
      <name val="Proxima Nova Rg"/>
      <family val="3"/>
    </font>
    <font>
      <sz val="11"/>
      <color rgb="FFFF0000"/>
      <name val="Proxima Nova Rg"/>
      <family val="3"/>
    </font>
    <font>
      <b/>
      <sz val="11"/>
      <color theme="1"/>
      <name val="Proxima Nova Rg"/>
      <family val="3"/>
    </font>
    <font>
      <sz val="8"/>
      <color theme="1"/>
      <name val="Proxima Nova Rg"/>
      <family val="3"/>
    </font>
    <font>
      <sz val="8"/>
      <color rgb="FF000000"/>
      <name val="Proxima Nova Rg"/>
      <family val="3"/>
    </font>
    <font>
      <b/>
      <sz val="12"/>
      <color rgb="FF000000"/>
      <name val="Proxima Nova Rg"/>
      <family val="3"/>
    </font>
    <font>
      <sz val="12"/>
      <color rgb="FF000000"/>
      <name val="Proxima Nova Rg"/>
      <family val="3"/>
    </font>
    <font>
      <sz val="14"/>
      <color rgb="FF000000"/>
      <name val="Proxima Nova Rg"/>
      <family val="3"/>
    </font>
    <font>
      <b/>
      <sz val="14"/>
      <color rgb="FF000000"/>
      <name val="Proxima Nova Rg"/>
      <family val="3"/>
    </font>
    <font>
      <sz val="14"/>
      <color theme="1"/>
      <name val="Proxima Nova Rg"/>
      <family val="3"/>
    </font>
    <font>
      <sz val="9"/>
      <color indexed="81"/>
      <name val="Tahoma"/>
      <family val="2"/>
    </font>
    <font>
      <sz val="11"/>
      <color theme="3"/>
      <name val="Proxima Nova Rg"/>
      <family val="3"/>
      <scheme val="minor"/>
    </font>
    <font>
      <sz val="11"/>
      <color theme="3"/>
      <name val="Proxima Nova Rg"/>
      <family val="3"/>
    </font>
    <font>
      <b/>
      <sz val="9"/>
      <color indexed="81"/>
      <name val="Tahoma"/>
      <family val="2"/>
    </font>
    <font>
      <b/>
      <sz val="14"/>
      <color theme="1"/>
      <name val="Proxima Nova Rg"/>
      <family val="3"/>
    </font>
    <font>
      <sz val="14"/>
      <color rgb="FFFF0000"/>
      <name val="Proxima Nova Rg"/>
      <family val="3"/>
    </font>
    <font>
      <b/>
      <sz val="15"/>
      <color theme="3"/>
      <name val="Proxima Nova Rg"/>
      <family val="2"/>
      <scheme val="minor"/>
    </font>
    <font>
      <b/>
      <sz val="15"/>
      <color theme="3"/>
      <name val="Proxima Nova Rg"/>
      <family val="3"/>
    </font>
    <font>
      <b/>
      <sz val="11"/>
      <color rgb="FF000000"/>
      <name val="Proxima Nova Rg"/>
      <family val="3"/>
    </font>
    <font>
      <sz val="11"/>
      <name val="Proxima Nova Rg"/>
      <family val="3"/>
    </font>
    <font>
      <b/>
      <sz val="10"/>
      <color theme="1"/>
      <name val="Proxima Nova Rg"/>
      <family val="3"/>
    </font>
    <font>
      <b/>
      <sz val="10"/>
      <color theme="0"/>
      <name val="Proxima Nova Rg"/>
      <family val="3"/>
    </font>
    <font>
      <sz val="11"/>
      <color theme="0"/>
      <name val="Proxima Nova Rg"/>
      <family val="3"/>
    </font>
    <font>
      <b/>
      <sz val="11"/>
      <color theme="0"/>
      <name val="Proxima Nova Rg"/>
      <family val="3"/>
    </font>
    <font>
      <sz val="10"/>
      <name val="Arial"/>
      <family val="2"/>
    </font>
    <font>
      <b/>
      <sz val="18"/>
      <color theme="3"/>
      <name val="Proxima Nova Bl"/>
      <family val="3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D7DB"/>
        <bgColor rgb="FFF9D7DB"/>
      </patternFill>
    </fill>
    <fill>
      <patternFill patternType="solid">
        <fgColor rgb="FFAAC6E3"/>
        <bgColor rgb="FFF9D7DB"/>
      </patternFill>
    </fill>
    <fill>
      <patternFill patternType="solid">
        <fgColor rgb="FFF5B9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rgb="FFF9D7DB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FBFBF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/>
      <diagonal/>
    </border>
    <border>
      <left style="thin">
        <color rgb="FFBFBFBF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theme="0" tint="-0.249977111117893"/>
      </right>
      <top/>
      <bottom/>
      <diagonal/>
    </border>
    <border>
      <left style="thin">
        <color rgb="FFBFBFBF"/>
      </left>
      <right style="thin">
        <color theme="0" tint="-0.249977111117893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theme="0" tint="-0.249977111117893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5" applyNumberFormat="0" applyFill="0" applyAlignment="0" applyProtection="0"/>
    <xf numFmtId="0" fontId="1" fillId="0" borderId="0"/>
    <xf numFmtId="0" fontId="31" fillId="0" borderId="0"/>
  </cellStyleXfs>
  <cellXfs count="14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readingOrder="1"/>
    </xf>
    <xf numFmtId="0" fontId="4" fillId="0" borderId="0" xfId="0" applyFont="1"/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horizontal="centerContinuous"/>
    </xf>
    <xf numFmtId="0" fontId="8" fillId="0" borderId="0" xfId="0" applyFont="1" applyAlignment="1">
      <alignment wrapText="1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 wrapText="1"/>
    </xf>
    <xf numFmtId="0" fontId="10" fillId="0" borderId="1" xfId="0" applyFont="1" applyBorder="1" applyAlignment="1">
      <alignment horizontal="centerContinuous" vertical="center" wrapText="1"/>
    </xf>
    <xf numFmtId="0" fontId="10" fillId="0" borderId="0" xfId="0" applyFont="1" applyAlignment="1">
      <alignment horizontal="centerContinuous"/>
    </xf>
    <xf numFmtId="0" fontId="10" fillId="0" borderId="0" xfId="0" applyFont="1"/>
    <xf numFmtId="0" fontId="10" fillId="0" borderId="0" xfId="0" applyFont="1" applyAlignment="1">
      <alignment horizontal="centerContinuous" wrapText="1"/>
    </xf>
    <xf numFmtId="164" fontId="10" fillId="0" borderId="0" xfId="1" applyNumberFormat="1" applyFont="1" applyAlignment="1">
      <alignment horizontal="centerContinuous"/>
    </xf>
    <xf numFmtId="0" fontId="12" fillId="0" borderId="2" xfId="0" applyFont="1" applyBorder="1" applyAlignment="1">
      <alignment horizontal="center" vertical="center" wrapText="1" readingOrder="1"/>
    </xf>
    <xf numFmtId="0" fontId="2" fillId="0" borderId="0" xfId="0" applyFont="1"/>
    <xf numFmtId="0" fontId="12" fillId="0" borderId="0" xfId="0" applyFont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  <xf numFmtId="0" fontId="15" fillId="2" borderId="3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164" fontId="14" fillId="2" borderId="3" xfId="1" applyNumberFormat="1" applyFont="1" applyFill="1" applyBorder="1" applyAlignment="1">
      <alignment horizontal="center" vertical="center" wrapText="1" readingOrder="1"/>
    </xf>
    <xf numFmtId="0" fontId="14" fillId="3" borderId="0" xfId="0" applyFont="1" applyFill="1" applyAlignment="1">
      <alignment horizontal="center" vertical="center" wrapText="1" readingOrder="1"/>
    </xf>
    <xf numFmtId="17" fontId="14" fillId="3" borderId="0" xfId="0" applyNumberFormat="1" applyFont="1" applyFill="1" applyAlignment="1">
      <alignment horizontal="center" vertical="center" wrapText="1" readingOrder="1"/>
    </xf>
    <xf numFmtId="1" fontId="15" fillId="3" borderId="0" xfId="0" applyNumberFormat="1" applyFont="1" applyFill="1" applyAlignment="1">
      <alignment horizontal="center" vertical="center" wrapText="1" readingOrder="1"/>
    </xf>
    <xf numFmtId="165" fontId="14" fillId="3" borderId="0" xfId="0" applyNumberFormat="1" applyFont="1" applyFill="1" applyAlignment="1">
      <alignment horizontal="center" vertical="center" wrapText="1" readingOrder="1"/>
    </xf>
    <xf numFmtId="165" fontId="15" fillId="3" borderId="0" xfId="0" applyNumberFormat="1" applyFont="1" applyFill="1" applyAlignment="1">
      <alignment horizontal="center" vertical="center" wrapText="1" readingOrder="1"/>
    </xf>
    <xf numFmtId="3" fontId="14" fillId="3" borderId="0" xfId="0" applyNumberFormat="1" applyFont="1" applyFill="1" applyAlignment="1">
      <alignment horizontal="center" vertical="center" wrapText="1" readingOrder="1"/>
    </xf>
    <xf numFmtId="3" fontId="15" fillId="3" borderId="0" xfId="0" applyNumberFormat="1" applyFont="1" applyFill="1" applyAlignment="1">
      <alignment horizontal="center" vertical="center" wrapText="1" readingOrder="1"/>
    </xf>
    <xf numFmtId="165" fontId="14" fillId="4" borderId="0" xfId="0" applyNumberFormat="1" applyFont="1" applyFill="1" applyAlignment="1">
      <alignment horizontal="center" vertical="center" wrapText="1" readingOrder="1"/>
    </xf>
    <xf numFmtId="3" fontId="14" fillId="4" borderId="0" xfId="0" applyNumberFormat="1" applyFont="1" applyFill="1" applyAlignment="1">
      <alignment horizontal="center" vertical="center" wrapText="1" readingOrder="1"/>
    </xf>
    <xf numFmtId="166" fontId="15" fillId="3" borderId="0" xfId="2" applyNumberFormat="1" applyFont="1" applyFill="1" applyAlignment="1">
      <alignment horizontal="center" vertical="center" wrapText="1" readingOrder="1"/>
    </xf>
    <xf numFmtId="165" fontId="7" fillId="3" borderId="0" xfId="0" applyNumberFormat="1" applyFont="1" applyFill="1" applyAlignment="1">
      <alignment horizontal="center" vertical="center" wrapText="1" readingOrder="1"/>
    </xf>
    <xf numFmtId="17" fontId="14" fillId="0" borderId="0" xfId="0" applyNumberFormat="1" applyFont="1" applyAlignment="1">
      <alignment horizontal="center" vertical="center" wrapText="1" readingOrder="1"/>
    </xf>
    <xf numFmtId="1" fontId="15" fillId="0" borderId="0" xfId="0" applyNumberFormat="1" applyFont="1" applyAlignment="1">
      <alignment horizontal="center" vertical="center" wrapText="1" readingOrder="1"/>
    </xf>
    <xf numFmtId="165" fontId="14" fillId="0" borderId="0" xfId="0" applyNumberFormat="1" applyFont="1" applyAlignment="1">
      <alignment horizontal="center" vertical="center" wrapText="1" readingOrder="1"/>
    </xf>
    <xf numFmtId="165" fontId="15" fillId="0" borderId="0" xfId="0" applyNumberFormat="1" applyFont="1" applyAlignment="1">
      <alignment horizontal="center" vertical="center" wrapText="1" readingOrder="1"/>
    </xf>
    <xf numFmtId="3" fontId="14" fillId="0" borderId="0" xfId="0" applyNumberFormat="1" applyFont="1" applyAlignment="1">
      <alignment horizontal="center" vertical="center" wrapText="1" readingOrder="1"/>
    </xf>
    <xf numFmtId="3" fontId="15" fillId="0" borderId="0" xfId="0" applyNumberFormat="1" applyFont="1" applyAlignment="1">
      <alignment horizontal="center" vertical="center" wrapText="1" readingOrder="1"/>
    </xf>
    <xf numFmtId="166" fontId="15" fillId="0" borderId="0" xfId="2" applyNumberFormat="1" applyFont="1" applyAlignment="1">
      <alignment horizontal="center" vertical="center" wrapText="1" readingOrder="1"/>
    </xf>
    <xf numFmtId="165" fontId="7" fillId="0" borderId="0" xfId="0" applyNumberFormat="1" applyFont="1" applyAlignment="1">
      <alignment horizontal="center" vertical="center" wrapText="1" readingOrder="1"/>
    </xf>
    <xf numFmtId="166" fontId="0" fillId="0" borderId="0" xfId="2" applyNumberFormat="1" applyFont="1"/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readingOrder="1"/>
    </xf>
    <xf numFmtId="0" fontId="12" fillId="0" borderId="4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3" fontId="15" fillId="4" borderId="0" xfId="0" applyNumberFormat="1" applyFont="1" applyFill="1" applyAlignment="1">
      <alignment horizontal="center" vertical="center" wrapText="1" readingOrder="1"/>
    </xf>
    <xf numFmtId="9" fontId="15" fillId="3" borderId="0" xfId="2" applyFont="1" applyFill="1" applyAlignment="1">
      <alignment horizontal="center" vertical="center" wrapText="1" readingOrder="1"/>
    </xf>
    <xf numFmtId="165" fontId="6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9" fontId="14" fillId="3" borderId="0" xfId="2" applyFont="1" applyFill="1" applyAlignment="1">
      <alignment horizontal="center" vertical="center" wrapText="1" readingOrder="1"/>
    </xf>
    <xf numFmtId="9" fontId="15" fillId="0" borderId="0" xfId="2" applyFont="1" applyAlignment="1">
      <alignment horizontal="center" vertical="center" wrapText="1" readingOrder="1"/>
    </xf>
    <xf numFmtId="9" fontId="14" fillId="0" borderId="0" xfId="2" applyFont="1" applyAlignment="1">
      <alignment horizontal="center" vertical="center" wrapText="1" readingOrder="1"/>
    </xf>
    <xf numFmtId="0" fontId="4" fillId="5" borderId="0" xfId="0" applyFont="1" applyFill="1" applyAlignment="1">
      <alignment horizontal="left" vertical="top" readingOrder="1"/>
    </xf>
    <xf numFmtId="0" fontId="12" fillId="5" borderId="2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9" fontId="14" fillId="4" borderId="0" xfId="2" applyFont="1" applyFill="1" applyAlignment="1">
      <alignment horizontal="center" vertical="center" wrapText="1" readingOrder="1"/>
    </xf>
    <xf numFmtId="167" fontId="16" fillId="3" borderId="0" xfId="0" applyNumberFormat="1" applyFont="1" applyFill="1" applyAlignment="1">
      <alignment horizontal="center" vertical="center" wrapText="1" readingOrder="1"/>
    </xf>
    <xf numFmtId="167" fontId="14" fillId="3" borderId="0" xfId="0" applyNumberFormat="1" applyFont="1" applyFill="1" applyAlignment="1">
      <alignment horizontal="center" vertical="center" wrapText="1" readingOrder="1"/>
    </xf>
    <xf numFmtId="167" fontId="15" fillId="3" borderId="0" xfId="0" applyNumberFormat="1" applyFont="1" applyFill="1" applyAlignment="1">
      <alignment horizontal="center" vertical="center" wrapText="1" readingOrder="1"/>
    </xf>
    <xf numFmtId="167" fontId="16" fillId="0" borderId="0" xfId="0" applyNumberFormat="1" applyFont="1" applyAlignment="1">
      <alignment horizontal="center" vertical="center" wrapText="1" readingOrder="1"/>
    </xf>
    <xf numFmtId="167" fontId="14" fillId="0" borderId="0" xfId="0" applyNumberFormat="1" applyFont="1" applyAlignment="1">
      <alignment horizontal="center" vertical="center" wrapText="1" readingOrder="1"/>
    </xf>
    <xf numFmtId="167" fontId="15" fillId="0" borderId="0" xfId="0" applyNumberFormat="1" applyFont="1" applyAlignment="1">
      <alignment horizontal="center" vertical="center" wrapText="1" readingOrder="1"/>
    </xf>
    <xf numFmtId="3" fontId="0" fillId="0" borderId="0" xfId="1" applyNumberFormat="1" applyFont="1"/>
    <xf numFmtId="3" fontId="12" fillId="5" borderId="2" xfId="1" applyNumberFormat="1" applyFont="1" applyFill="1" applyBorder="1" applyAlignment="1">
      <alignment horizontal="center" vertical="center" wrapText="1" readingOrder="1"/>
    </xf>
    <xf numFmtId="3" fontId="15" fillId="2" borderId="3" xfId="1" applyNumberFormat="1" applyFont="1" applyFill="1" applyBorder="1" applyAlignment="1">
      <alignment horizontal="center" vertical="center" wrapText="1" readingOrder="1"/>
    </xf>
    <xf numFmtId="3" fontId="15" fillId="3" borderId="0" xfId="1" applyNumberFormat="1" applyFont="1" applyFill="1" applyAlignment="1">
      <alignment horizontal="center" vertical="center" wrapText="1" readingOrder="1"/>
    </xf>
    <xf numFmtId="3" fontId="14" fillId="0" borderId="0" xfId="1" applyNumberFormat="1" applyFont="1" applyAlignment="1">
      <alignment horizontal="center" vertical="center" wrapText="1" readingOrder="1"/>
    </xf>
    <xf numFmtId="3" fontId="15" fillId="0" borderId="0" xfId="1" applyNumberFormat="1" applyFont="1" applyAlignment="1">
      <alignment horizontal="center" vertical="center" wrapText="1" readingOrder="1"/>
    </xf>
    <xf numFmtId="0" fontId="0" fillId="7" borderId="0" xfId="0" applyFill="1"/>
    <xf numFmtId="0" fontId="10" fillId="0" borderId="1" xfId="0" applyFont="1" applyBorder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horizontal="left" vertical="top" readingOrder="1"/>
    </xf>
    <xf numFmtId="164" fontId="4" fillId="0" borderId="0" xfId="1" applyNumberFormat="1" applyFont="1"/>
    <xf numFmtId="0" fontId="19" fillId="5" borderId="0" xfId="0" applyFont="1" applyFill="1" applyAlignment="1">
      <alignment horizontal="centerContinuous"/>
    </xf>
    <xf numFmtId="0" fontId="18" fillId="5" borderId="0" xfId="0" applyFont="1" applyFill="1"/>
    <xf numFmtId="3" fontId="18" fillId="5" borderId="0" xfId="1" applyNumberFormat="1" applyFont="1" applyFill="1"/>
    <xf numFmtId="0" fontId="0" fillId="8" borderId="0" xfId="0" applyFill="1"/>
    <xf numFmtId="165" fontId="21" fillId="0" borderId="0" xfId="0" applyNumberFormat="1" applyFont="1" applyAlignment="1">
      <alignment horizontal="center" vertical="center" wrapText="1" readingOrder="1"/>
    </xf>
    <xf numFmtId="165" fontId="6" fillId="0" borderId="0" xfId="0" applyNumberFormat="1" applyFont="1" applyAlignment="1">
      <alignment horizontal="center" vertical="center" wrapText="1" readingOrder="1"/>
    </xf>
    <xf numFmtId="3" fontId="21" fillId="0" borderId="0" xfId="0" applyNumberFormat="1" applyFont="1" applyAlignment="1">
      <alignment horizontal="center" vertical="center" wrapText="1" readingOrder="1"/>
    </xf>
    <xf numFmtId="3" fontId="16" fillId="0" borderId="0" xfId="0" applyNumberFormat="1" applyFont="1" applyAlignment="1">
      <alignment horizontal="center" vertical="center" wrapText="1" readingOrder="1"/>
    </xf>
    <xf numFmtId="3" fontId="22" fillId="0" borderId="0" xfId="0" applyNumberFormat="1" applyFont="1" applyAlignment="1">
      <alignment horizontal="center" vertical="center" wrapText="1" readingOrder="1"/>
    </xf>
    <xf numFmtId="9" fontId="14" fillId="0" borderId="0" xfId="2" applyFont="1" applyFill="1" applyAlignment="1">
      <alignment horizontal="center" vertical="center" wrapText="1" readingOrder="1"/>
    </xf>
    <xf numFmtId="9" fontId="15" fillId="0" borderId="0" xfId="2" applyFont="1" applyFill="1" applyAlignment="1">
      <alignment horizontal="center" vertical="center" wrapText="1" readingOrder="1"/>
    </xf>
    <xf numFmtId="0" fontId="24" fillId="0" borderId="5" xfId="3" applyFont="1"/>
    <xf numFmtId="0" fontId="6" fillId="0" borderId="0" xfId="4" applyFont="1"/>
    <xf numFmtId="0" fontId="9" fillId="0" borderId="0" xfId="4" applyFont="1"/>
    <xf numFmtId="0" fontId="9" fillId="0" borderId="0" xfId="4" applyFont="1" applyAlignment="1">
      <alignment horizontal="center" vertical="center"/>
    </xf>
    <xf numFmtId="0" fontId="25" fillId="7" borderId="6" xfId="4" applyFont="1" applyFill="1" applyBorder="1" applyAlignment="1">
      <alignment horizontal="center" vertical="center" wrapText="1" readingOrder="1"/>
    </xf>
    <xf numFmtId="17" fontId="9" fillId="0" borderId="7" xfId="4" applyNumberFormat="1" applyFont="1" applyBorder="1" applyAlignment="1">
      <alignment horizontal="center" vertical="center"/>
    </xf>
    <xf numFmtId="0" fontId="7" fillId="9" borderId="8" xfId="4" applyFont="1" applyFill="1" applyBorder="1" applyAlignment="1">
      <alignment horizontal="center" vertical="center" wrapText="1"/>
    </xf>
    <xf numFmtId="3" fontId="6" fillId="0" borderId="9" xfId="4" applyNumberFormat="1" applyFont="1" applyBorder="1" applyAlignment="1">
      <alignment horizontal="center" vertical="center"/>
    </xf>
    <xf numFmtId="3" fontId="6" fillId="0" borderId="15" xfId="4" applyNumberFormat="1" applyFont="1" applyBorder="1" applyAlignment="1">
      <alignment horizontal="center" vertical="center"/>
    </xf>
    <xf numFmtId="0" fontId="25" fillId="10" borderId="8" xfId="4" applyFont="1" applyFill="1" applyBorder="1" applyAlignment="1">
      <alignment horizontal="center" vertical="center" wrapText="1"/>
    </xf>
    <xf numFmtId="3" fontId="25" fillId="10" borderId="8" xfId="4" applyNumberFormat="1" applyFont="1" applyFill="1" applyBorder="1" applyAlignment="1">
      <alignment horizontal="center" vertical="center" wrapText="1"/>
    </xf>
    <xf numFmtId="3" fontId="26" fillId="0" borderId="11" xfId="4" applyNumberFormat="1" applyFont="1" applyBorder="1" applyAlignment="1">
      <alignment horizontal="center" vertical="center"/>
    </xf>
    <xf numFmtId="0" fontId="25" fillId="11" borderId="6" xfId="4" applyFont="1" applyFill="1" applyBorder="1" applyAlignment="1">
      <alignment horizontal="center" vertical="center" wrapText="1" readingOrder="1"/>
    </xf>
    <xf numFmtId="3" fontId="25" fillId="11" borderId="6" xfId="4" applyNumberFormat="1" applyFont="1" applyFill="1" applyBorder="1" applyAlignment="1">
      <alignment horizontal="center" vertical="center" wrapText="1" readingOrder="1"/>
    </xf>
    <xf numFmtId="0" fontId="1" fillId="0" borderId="0" xfId="4"/>
    <xf numFmtId="3" fontId="1" fillId="0" borderId="0" xfId="4" applyNumberFormat="1"/>
    <xf numFmtId="1" fontId="27" fillId="12" borderId="15" xfId="4" applyNumberFormat="1" applyFont="1" applyFill="1" applyBorder="1" applyAlignment="1">
      <alignment horizontal="center" vertical="center"/>
    </xf>
    <xf numFmtId="1" fontId="6" fillId="12" borderId="15" xfId="4" applyNumberFormat="1" applyFont="1" applyFill="1" applyBorder="1" applyAlignment="1">
      <alignment horizontal="center" vertical="center"/>
    </xf>
    <xf numFmtId="1" fontId="27" fillId="13" borderId="15" xfId="4" applyNumberFormat="1" applyFont="1" applyFill="1" applyBorder="1" applyAlignment="1">
      <alignment horizontal="center" vertical="center"/>
    </xf>
    <xf numFmtId="1" fontId="6" fillId="13" borderId="15" xfId="4" applyNumberFormat="1" applyFont="1" applyFill="1" applyBorder="1" applyAlignment="1">
      <alignment horizontal="center" vertical="center"/>
    </xf>
    <xf numFmtId="3" fontId="9" fillId="13" borderId="15" xfId="4" applyNumberFormat="1" applyFont="1" applyFill="1" applyBorder="1" applyAlignment="1">
      <alignment horizontal="center" vertical="center"/>
    </xf>
    <xf numFmtId="1" fontId="28" fillId="14" borderId="15" xfId="4" applyNumberFormat="1" applyFont="1" applyFill="1" applyBorder="1" applyAlignment="1">
      <alignment horizontal="center"/>
    </xf>
    <xf numFmtId="1" fontId="29" fillId="14" borderId="15" xfId="4" applyNumberFormat="1" applyFont="1" applyFill="1" applyBorder="1" applyAlignment="1">
      <alignment horizontal="center"/>
    </xf>
    <xf numFmtId="3" fontId="30" fillId="14" borderId="15" xfId="4" applyNumberFormat="1" applyFont="1" applyFill="1" applyBorder="1" applyAlignment="1">
      <alignment horizontal="center"/>
    </xf>
    <xf numFmtId="0" fontId="31" fillId="0" borderId="0" xfId="5"/>
    <xf numFmtId="0" fontId="31" fillId="0" borderId="0" xfId="5" applyAlignment="1">
      <alignment horizontal="left"/>
    </xf>
    <xf numFmtId="0" fontId="32" fillId="0" borderId="5" xfId="3" applyFont="1"/>
    <xf numFmtId="168" fontId="0" fillId="0" borderId="0" xfId="1" applyNumberFormat="1" applyFont="1"/>
    <xf numFmtId="167" fontId="0" fillId="0" borderId="0" xfId="0" applyNumberFormat="1"/>
    <xf numFmtId="9" fontId="0" fillId="0" borderId="0" xfId="2" applyFont="1"/>
    <xf numFmtId="3" fontId="6" fillId="0" borderId="0" xfId="4" applyNumberFormat="1" applyFont="1" applyAlignment="1">
      <alignment horizontal="center" vertical="center"/>
    </xf>
    <xf numFmtId="3" fontId="25" fillId="10" borderId="0" xfId="4" applyNumberFormat="1" applyFont="1" applyFill="1" applyAlignment="1">
      <alignment horizontal="center" vertical="center" wrapText="1"/>
    </xf>
    <xf numFmtId="0" fontId="30" fillId="15" borderId="8" xfId="4" applyFont="1" applyFill="1" applyBorder="1" applyAlignment="1">
      <alignment horizontal="center" vertical="center" wrapText="1"/>
    </xf>
    <xf numFmtId="3" fontId="30" fillId="15" borderId="0" xfId="4" applyNumberFormat="1" applyFont="1" applyFill="1" applyAlignment="1">
      <alignment horizontal="center" vertical="center" wrapText="1"/>
    </xf>
    <xf numFmtId="1" fontId="14" fillId="4" borderId="0" xfId="0" applyNumberFormat="1" applyFont="1" applyFill="1" applyAlignment="1">
      <alignment horizontal="center" vertical="center" wrapText="1" readingOrder="1"/>
    </xf>
    <xf numFmtId="1" fontId="14" fillId="0" borderId="0" xfId="0" applyNumberFormat="1" applyFont="1" applyAlignment="1">
      <alignment horizontal="center" vertical="center" wrapText="1" readingOrder="1"/>
    </xf>
    <xf numFmtId="3" fontId="6" fillId="0" borderId="18" xfId="4" applyNumberFormat="1" applyFont="1" applyBorder="1" applyAlignment="1">
      <alignment horizontal="center" vertical="center"/>
    </xf>
    <xf numFmtId="3" fontId="6" fillId="0" borderId="19" xfId="4" applyNumberFormat="1" applyFont="1" applyBorder="1" applyAlignment="1">
      <alignment horizontal="center" vertical="center"/>
    </xf>
    <xf numFmtId="3" fontId="6" fillId="0" borderId="10" xfId="4" applyNumberFormat="1" applyFont="1" applyBorder="1" applyAlignment="1">
      <alignment horizontal="center" vertical="center"/>
    </xf>
    <xf numFmtId="3" fontId="6" fillId="0" borderId="13" xfId="4" applyNumberFormat="1" applyFont="1" applyBorder="1" applyAlignment="1">
      <alignment horizontal="center" vertical="center"/>
    </xf>
    <xf numFmtId="3" fontId="6" fillId="0" borderId="16" xfId="4" applyNumberFormat="1" applyFont="1" applyBorder="1" applyAlignment="1">
      <alignment horizontal="center" vertical="center"/>
    </xf>
    <xf numFmtId="3" fontId="6" fillId="0" borderId="17" xfId="4" applyNumberFormat="1" applyFont="1" applyBorder="1" applyAlignment="1">
      <alignment horizontal="center" vertical="center"/>
    </xf>
    <xf numFmtId="3" fontId="6" fillId="0" borderId="11" xfId="4" applyNumberFormat="1" applyFont="1" applyBorder="1" applyAlignment="1">
      <alignment horizontal="center" vertical="center"/>
    </xf>
    <xf numFmtId="3" fontId="6" fillId="0" borderId="9" xfId="4" applyNumberFormat="1" applyFont="1" applyBorder="1" applyAlignment="1">
      <alignment horizontal="center" vertical="center"/>
    </xf>
    <xf numFmtId="3" fontId="26" fillId="0" borderId="10" xfId="4" applyNumberFormat="1" applyFont="1" applyBorder="1" applyAlignment="1">
      <alignment horizontal="center" vertical="center"/>
    </xf>
    <xf numFmtId="3" fontId="26" fillId="0" borderId="16" xfId="4" applyNumberFormat="1" applyFont="1" applyBorder="1" applyAlignment="1">
      <alignment horizontal="center" vertical="center"/>
    </xf>
    <xf numFmtId="3" fontId="26" fillId="0" borderId="17" xfId="4" applyNumberFormat="1" applyFont="1" applyBorder="1" applyAlignment="1">
      <alignment horizontal="center" vertical="center"/>
    </xf>
    <xf numFmtId="3" fontId="6" fillId="0" borderId="12" xfId="4" applyNumberFormat="1" applyFont="1" applyBorder="1" applyAlignment="1">
      <alignment horizontal="center" vertical="center"/>
    </xf>
    <xf numFmtId="3" fontId="6" fillId="0" borderId="14" xfId="4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6">
    <cellStyle name="Encabezado 1 2" xfId="3" xr:uid="{99E70BC9-68A6-44B7-A962-A65E52844EC3}"/>
    <cellStyle name="Millares" xfId="1" builtinId="3"/>
    <cellStyle name="Normal" xfId="0" builtinId="0"/>
    <cellStyle name="Normal 2" xfId="5" xr:uid="{6A479541-4A75-46A2-8F91-B0B9E909E695}"/>
    <cellStyle name="Normal 5" xfId="4" xr:uid="{C0C21761-727A-48F6-8B2E-2F1D34371204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161925</xdr:rowOff>
    </xdr:from>
    <xdr:to>
      <xdr:col>11</xdr:col>
      <xdr:colOff>923925</xdr:colOff>
      <xdr:row>18</xdr:row>
      <xdr:rowOff>95250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3572F94-4BD1-94F9-E5F8-7A8B2A79DC0D}"/>
            </a:ext>
          </a:extLst>
        </xdr:cNvPr>
        <xdr:cNvSpPr txBox="1"/>
      </xdr:nvSpPr>
      <xdr:spPr>
        <a:xfrm>
          <a:off x="161925" y="161925"/>
          <a:ext cx="11658600" cy="3362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2800">
              <a:solidFill>
                <a:schemeClr val="tx2"/>
              </a:solidFill>
              <a:latin typeface="+mj-lt"/>
            </a:rPr>
            <a:t>Variables Relevantes del MEM</a:t>
          </a:r>
        </a:p>
        <a:p>
          <a:pPr algn="ctr"/>
          <a:endParaRPr lang="es-AR" sz="1200">
            <a:solidFill>
              <a:schemeClr val="tx2"/>
            </a:solidFill>
            <a:latin typeface="+mj-lt"/>
          </a:endParaRPr>
        </a:p>
        <a:p>
          <a:r>
            <a:rPr lang="es-AR" sz="1800">
              <a:solidFill>
                <a:schemeClr val="tx2"/>
              </a:solidFill>
            </a:rPr>
            <a:t>Los datos contenidos en el presente informe reflejan la mejor información disponible al momento de su publicación y no revisten carácter estático, por lo que podrán ser actualizados con posterioridad. </a:t>
          </a:r>
        </a:p>
        <a:p>
          <a:endParaRPr lang="es-AR" sz="1800">
            <a:solidFill>
              <a:schemeClr val="tx2"/>
            </a:solidFill>
          </a:endParaRPr>
        </a:p>
        <a:p>
          <a:r>
            <a:rPr lang="es-AR" sz="1800">
              <a:solidFill>
                <a:schemeClr val="tx2"/>
              </a:solidFill>
            </a:rPr>
            <a:t>En el marco de los cambios introducidos por la Resolución SE N° 400/25, se implementaron modificaciones tanto en la presentación como en las bases de datos, las cuales continuarán ajustándose a medida que se disponga de información más completa y de mayor calidad.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CAMMESA">
  <a:themeElements>
    <a:clrScheme name="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50A4-E9B8-4C95-AD50-14C8A1B53AA9}">
  <dimension ref="A1"/>
  <sheetViews>
    <sheetView tabSelected="1" workbookViewId="0"/>
  </sheetViews>
  <sheetFormatPr baseColWidth="10" defaultColWidth="11.5546875" defaultRowHeight="15" x14ac:dyDescent="0.25"/>
  <cols>
    <col min="1" max="16384" width="11.5546875" style="7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F86B-931D-4416-BCA3-19DF4755013F}">
  <dimension ref="A1:EP110"/>
  <sheetViews>
    <sheetView workbookViewId="0">
      <pane xSplit="2" ySplit="5" topLeftCell="C78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RowHeight="24" x14ac:dyDescent="0.4"/>
  <cols>
    <col min="4" max="4" width="19.77734375" customWidth="1"/>
    <col min="8" max="8" width="6.33203125" customWidth="1"/>
    <col min="13" max="13" width="8" customWidth="1"/>
    <col min="14" max="20" width="14.88671875" customWidth="1"/>
    <col min="21" max="24" width="16.44140625" customWidth="1"/>
    <col min="25" max="25" width="7.21875" customWidth="1"/>
    <col min="26" max="26" width="22.88671875" customWidth="1"/>
    <col min="27" max="27" width="6.6640625" customWidth="1"/>
    <col min="31" max="31" width="17.33203125" customWidth="1"/>
    <col min="33" max="33" width="7.88671875" customWidth="1"/>
    <col min="41" max="41" width="11.5546875" style="45"/>
    <col min="42" max="42" width="8.21875" customWidth="1"/>
    <col min="50" max="50" width="8.109375" customWidth="1"/>
    <col min="51" max="51" width="11.5546875" customWidth="1"/>
    <col min="55" max="55" width="9.21875" customWidth="1"/>
    <col min="56" max="56" width="12.88671875" customWidth="1"/>
    <col min="57" max="57" width="14.33203125" customWidth="1"/>
    <col min="58" max="58" width="8.6640625" customWidth="1"/>
    <col min="66" max="66" width="8.21875" customWidth="1"/>
    <col min="70" max="70" width="8.109375" customWidth="1"/>
    <col min="71" max="71" width="16.33203125" customWidth="1"/>
    <col min="79" max="79" width="15.6640625" customWidth="1"/>
    <col min="85" max="85" width="9.77734375" customWidth="1"/>
    <col min="98" max="98" width="8.109375" customWidth="1"/>
    <col min="99" max="103" width="13.6640625" customWidth="1"/>
    <col min="105" max="106" width="14.33203125" customWidth="1"/>
    <col min="107" max="107" width="11.5546875" style="1"/>
    <col min="111" max="111" width="7.33203125" customWidth="1"/>
    <col min="112" max="113" width="12.88671875" customWidth="1"/>
    <col min="114" max="114" width="7.33203125" customWidth="1"/>
    <col min="117" max="117" width="8.88671875" customWidth="1"/>
    <col min="118" max="119" width="16.109375" customWidth="1"/>
    <col min="121" max="122" width="14.88671875" customWidth="1"/>
    <col min="124" max="126" width="14.21875" customWidth="1"/>
    <col min="127" max="127" width="5.33203125" customWidth="1"/>
    <col min="135" max="135" width="20.21875" customWidth="1"/>
    <col min="146" max="146" width="17.21875" style="67" customWidth="1"/>
  </cols>
  <sheetData>
    <row r="1" spans="1:146" ht="19.5" customHeight="1" x14ac:dyDescent="0.25">
      <c r="AO1"/>
      <c r="CU1" s="81"/>
      <c r="CV1" s="81"/>
      <c r="CW1" s="81"/>
      <c r="CX1" s="81"/>
      <c r="CY1" s="81"/>
      <c r="DC1"/>
      <c r="DD1" s="81"/>
      <c r="DE1" s="81"/>
      <c r="DF1" s="81"/>
      <c r="DX1" s="4" t="s">
        <v>156</v>
      </c>
    </row>
    <row r="2" spans="1:146" s="75" customFormat="1" ht="19.5" customHeight="1" x14ac:dyDescent="0.4">
      <c r="A2" s="3"/>
      <c r="B2" s="3"/>
      <c r="C2" s="3"/>
      <c r="D2" s="2" t="s">
        <v>0</v>
      </c>
      <c r="F2" s="3"/>
      <c r="G2" s="3"/>
      <c r="I2" s="2" t="s">
        <v>1</v>
      </c>
      <c r="J2" s="3"/>
      <c r="K2" s="3"/>
      <c r="L2" s="3"/>
      <c r="M2" s="3"/>
      <c r="N2" s="2" t="s">
        <v>2</v>
      </c>
      <c r="Z2" s="2" t="s">
        <v>3</v>
      </c>
      <c r="AB2" s="2" t="s">
        <v>6</v>
      </c>
      <c r="AC2" s="3"/>
      <c r="AH2" s="2" t="s">
        <v>124</v>
      </c>
      <c r="AQ2" s="2" t="s">
        <v>7</v>
      </c>
      <c r="AR2" s="76"/>
      <c r="AS2" s="76"/>
      <c r="AT2" s="3"/>
      <c r="AU2" s="3"/>
      <c r="AV2" s="3"/>
      <c r="AW2" s="3"/>
      <c r="AX2" s="3"/>
      <c r="AY2" s="2" t="s">
        <v>8</v>
      </c>
      <c r="AZ2" s="3"/>
      <c r="BA2" s="3"/>
      <c r="BB2" s="3"/>
      <c r="BC2" s="3"/>
      <c r="BD2" s="3"/>
      <c r="BE2" s="3"/>
      <c r="BF2" s="3"/>
      <c r="BG2" s="2" t="s">
        <v>9</v>
      </c>
      <c r="BH2" s="2"/>
      <c r="BI2" s="2"/>
      <c r="BJ2" s="3"/>
      <c r="BK2" s="3"/>
      <c r="BL2" s="3"/>
      <c r="BM2" s="3"/>
      <c r="BN2" s="3"/>
      <c r="BO2" s="3"/>
      <c r="BP2" s="3"/>
      <c r="BQ2" s="3"/>
      <c r="BS2" s="2" t="s">
        <v>10</v>
      </c>
      <c r="BT2" s="2"/>
      <c r="BU2" s="3"/>
      <c r="BV2" s="3"/>
      <c r="BW2" s="3"/>
      <c r="BX2" s="3"/>
      <c r="BY2" s="3"/>
      <c r="BZ2" s="3"/>
      <c r="CA2" s="3"/>
      <c r="CB2" s="3"/>
      <c r="CC2" s="3"/>
      <c r="CD2" s="77"/>
      <c r="CE2" s="3"/>
      <c r="CF2" s="3"/>
      <c r="CG2" s="3"/>
      <c r="CH2" s="2" t="s">
        <v>11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U2" s="2" t="s">
        <v>12</v>
      </c>
      <c r="DA2" s="2" t="s">
        <v>132</v>
      </c>
      <c r="DB2" s="2"/>
      <c r="DC2" s="2"/>
      <c r="DD2" s="2" t="s">
        <v>133</v>
      </c>
      <c r="DE2" s="3"/>
      <c r="DF2" s="3"/>
      <c r="DG2" s="3"/>
      <c r="DH2" s="57" t="s">
        <v>153</v>
      </c>
      <c r="DI2" s="57"/>
      <c r="DJ2" s="3"/>
      <c r="DK2" s="57" t="s">
        <v>147</v>
      </c>
      <c r="DL2" s="57"/>
      <c r="DM2" s="3"/>
      <c r="DN2" s="57" t="s">
        <v>154</v>
      </c>
      <c r="DO2" s="57"/>
      <c r="DP2" s="3"/>
      <c r="DQ2" s="57" t="s">
        <v>134</v>
      </c>
      <c r="DR2" s="57"/>
      <c r="DS2" s="3"/>
      <c r="DT2" s="57" t="s">
        <v>135</v>
      </c>
      <c r="DU2" s="57"/>
      <c r="DV2" s="57"/>
      <c r="DX2" s="57" t="s">
        <v>4</v>
      </c>
      <c r="DY2" s="57"/>
      <c r="DZ2" s="78"/>
      <c r="EA2" s="79"/>
      <c r="EB2" s="79"/>
      <c r="EC2" s="79"/>
      <c r="ED2" s="79"/>
      <c r="EE2" s="79"/>
      <c r="EF2" s="57" t="s">
        <v>5</v>
      </c>
      <c r="EG2" s="79"/>
      <c r="EH2" s="79"/>
      <c r="EI2" s="79"/>
      <c r="EJ2" s="79"/>
      <c r="EK2" s="79"/>
      <c r="EL2" s="79"/>
      <c r="EM2" s="79"/>
      <c r="EN2" s="79"/>
      <c r="EO2" s="79"/>
      <c r="EP2" s="80"/>
    </row>
    <row r="3" spans="1:146" ht="19.5" customHeight="1" x14ac:dyDescent="0.25">
      <c r="A3" s="6"/>
      <c r="B3" s="7"/>
      <c r="C3" s="8" t="s">
        <v>13</v>
      </c>
      <c r="D3" s="9" t="s">
        <v>14</v>
      </c>
      <c r="E3" s="9" t="s">
        <v>15</v>
      </c>
      <c r="F3" s="10" t="s">
        <v>16</v>
      </c>
      <c r="G3" s="10"/>
      <c r="I3" s="9" t="s">
        <v>17</v>
      </c>
      <c r="J3" s="9"/>
      <c r="K3" s="9"/>
      <c r="L3" s="46"/>
      <c r="M3" s="10"/>
      <c r="N3" s="11" t="s">
        <v>18</v>
      </c>
      <c r="Z3" s="11" t="s">
        <v>19</v>
      </c>
      <c r="AB3" s="11" t="s">
        <v>19</v>
      </c>
      <c r="AC3" s="5"/>
      <c r="AO3"/>
      <c r="AQ3" s="11" t="s">
        <v>20</v>
      </c>
      <c r="AR3" s="10"/>
      <c r="AS3" s="10"/>
      <c r="AT3" s="12"/>
      <c r="AU3" s="12"/>
      <c r="AV3" s="12"/>
      <c r="AW3" s="12"/>
      <c r="AX3" s="13"/>
      <c r="AY3" s="139" t="s">
        <v>157</v>
      </c>
      <c r="AZ3" s="139"/>
      <c r="BA3" s="74"/>
      <c r="BB3" s="74"/>
      <c r="BC3" s="13"/>
      <c r="BD3" s="13"/>
      <c r="BE3" s="13"/>
      <c r="BF3" s="13"/>
      <c r="BG3" s="11" t="s">
        <v>21</v>
      </c>
      <c r="BH3" s="11"/>
      <c r="BI3" s="11"/>
      <c r="BJ3" s="11" t="s">
        <v>22</v>
      </c>
      <c r="BK3" s="14"/>
      <c r="BL3" s="13"/>
      <c r="BM3" s="13"/>
      <c r="BN3" s="13"/>
      <c r="BO3" s="13"/>
      <c r="BP3" s="13"/>
      <c r="BQ3" s="13"/>
      <c r="BS3" s="11" t="s">
        <v>20</v>
      </c>
      <c r="BT3" s="10"/>
      <c r="BU3" s="12"/>
      <c r="BV3" s="12"/>
      <c r="BW3" s="12"/>
      <c r="BX3" s="12"/>
      <c r="BY3" s="12"/>
      <c r="BZ3" s="12"/>
      <c r="CA3" s="12"/>
      <c r="CB3" s="12"/>
      <c r="CC3" s="12"/>
      <c r="CD3" s="15"/>
      <c r="CE3" s="12"/>
      <c r="CF3" s="12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U3" s="138" t="s">
        <v>158</v>
      </c>
      <c r="CV3" s="138"/>
      <c r="CW3" s="138"/>
      <c r="CX3" s="138"/>
      <c r="CY3" s="138"/>
      <c r="DA3" s="47"/>
      <c r="DB3" s="47"/>
      <c r="DC3" s="47"/>
      <c r="DD3" s="13"/>
      <c r="DE3" s="13"/>
      <c r="DF3" s="13"/>
      <c r="DG3" s="13"/>
      <c r="DH3" s="138" t="s">
        <v>146</v>
      </c>
      <c r="DI3" s="138"/>
      <c r="DJ3" s="13"/>
      <c r="DK3" s="138" t="s">
        <v>146</v>
      </c>
      <c r="DL3" s="138"/>
      <c r="DM3" s="13"/>
      <c r="DN3" s="138" t="s">
        <v>146</v>
      </c>
      <c r="DO3" s="138"/>
      <c r="DP3" s="13"/>
      <c r="DQ3" s="138" t="s">
        <v>146</v>
      </c>
      <c r="DR3" s="138"/>
      <c r="DS3" s="13"/>
      <c r="DT3" s="138" t="s">
        <v>146</v>
      </c>
      <c r="DU3" s="138"/>
      <c r="DV3" s="13"/>
      <c r="DX3" s="138" t="s">
        <v>146</v>
      </c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</row>
    <row r="4" spans="1:146" ht="19.5" customHeight="1" x14ac:dyDescent="0.25">
      <c r="A4" s="7"/>
      <c r="B4" s="7"/>
      <c r="C4" s="7"/>
      <c r="D4" s="16" t="s">
        <v>23</v>
      </c>
      <c r="E4" s="16" t="s">
        <v>23</v>
      </c>
      <c r="F4" s="16" t="s">
        <v>24</v>
      </c>
      <c r="G4" s="16" t="s">
        <v>25</v>
      </c>
      <c r="H4" s="17"/>
      <c r="I4" s="16" t="s">
        <v>125</v>
      </c>
      <c r="J4" s="16" t="s">
        <v>125</v>
      </c>
      <c r="K4" s="16" t="s">
        <v>125</v>
      </c>
      <c r="L4" s="16" t="s">
        <v>125</v>
      </c>
      <c r="M4" s="18"/>
      <c r="N4" s="16" t="s">
        <v>26</v>
      </c>
      <c r="O4" s="16" t="s">
        <v>26</v>
      </c>
      <c r="P4" s="16" t="s">
        <v>26</v>
      </c>
      <c r="Q4" s="16" t="s">
        <v>26</v>
      </c>
      <c r="R4" s="16" t="s">
        <v>26</v>
      </c>
      <c r="S4" s="16" t="s">
        <v>26</v>
      </c>
      <c r="T4" s="16" t="s">
        <v>26</v>
      </c>
      <c r="U4" s="16" t="s">
        <v>26</v>
      </c>
      <c r="V4" s="16" t="s">
        <v>26</v>
      </c>
      <c r="W4" s="16" t="s">
        <v>26</v>
      </c>
      <c r="X4" s="16" t="s">
        <v>26</v>
      </c>
      <c r="Z4" s="16" t="s">
        <v>27</v>
      </c>
      <c r="AB4" s="16" t="s">
        <v>26</v>
      </c>
      <c r="AC4" s="16" t="s">
        <v>26</v>
      </c>
      <c r="AD4" s="16" t="s">
        <v>26</v>
      </c>
      <c r="AE4" s="16" t="s">
        <v>26</v>
      </c>
      <c r="AF4" s="16" t="s">
        <v>26</v>
      </c>
      <c r="AH4" s="16" t="s">
        <v>26</v>
      </c>
      <c r="AI4" s="16" t="s">
        <v>26</v>
      </c>
      <c r="AJ4" s="16" t="s">
        <v>26</v>
      </c>
      <c r="AK4" s="16" t="s">
        <v>26</v>
      </c>
      <c r="AL4" s="16" t="s">
        <v>26</v>
      </c>
      <c r="AM4" s="16" t="s">
        <v>26</v>
      </c>
      <c r="AN4" s="16" t="s">
        <v>26</v>
      </c>
      <c r="AO4" s="16" t="s">
        <v>126</v>
      </c>
      <c r="AQ4" s="16" t="s">
        <v>29</v>
      </c>
      <c r="AR4" s="19" t="s">
        <v>29</v>
      </c>
      <c r="AS4" s="19" t="s">
        <v>29</v>
      </c>
      <c r="AT4" s="16" t="s">
        <v>30</v>
      </c>
      <c r="AU4" s="16" t="s">
        <v>31</v>
      </c>
      <c r="AV4" s="16" t="s">
        <v>30</v>
      </c>
      <c r="AW4" s="19" t="s">
        <v>29</v>
      </c>
      <c r="AX4" s="7"/>
      <c r="AY4" s="19" t="s">
        <v>29</v>
      </c>
      <c r="AZ4" s="19" t="s">
        <v>29</v>
      </c>
      <c r="BA4" s="19" t="s">
        <v>29</v>
      </c>
      <c r="BB4" s="19" t="s">
        <v>29</v>
      </c>
      <c r="BC4" s="7"/>
      <c r="BD4" s="20" t="s">
        <v>32</v>
      </c>
      <c r="BE4" s="20" t="s">
        <v>32</v>
      </c>
      <c r="BF4" s="7"/>
      <c r="BG4" s="16" t="s">
        <v>127</v>
      </c>
      <c r="BH4" s="19" t="s">
        <v>127</v>
      </c>
      <c r="BI4" s="19" t="s">
        <v>127</v>
      </c>
      <c r="BJ4" s="16" t="s">
        <v>128</v>
      </c>
      <c r="BK4" s="16" t="s">
        <v>129</v>
      </c>
      <c r="BL4" s="16" t="s">
        <v>128</v>
      </c>
      <c r="BM4" s="16" t="s">
        <v>127</v>
      </c>
      <c r="BN4" s="7"/>
      <c r="BO4" s="20" t="s">
        <v>130</v>
      </c>
      <c r="BP4" s="20" t="s">
        <v>130</v>
      </c>
      <c r="BQ4" s="16" t="s">
        <v>130</v>
      </c>
      <c r="BS4" s="20" t="s">
        <v>26</v>
      </c>
      <c r="BT4" s="20" t="s">
        <v>26</v>
      </c>
      <c r="BU4" s="20" t="s">
        <v>26</v>
      </c>
      <c r="BV4" s="20" t="s">
        <v>26</v>
      </c>
      <c r="BW4" s="20" t="s">
        <v>26</v>
      </c>
      <c r="BX4" s="20" t="s">
        <v>26</v>
      </c>
      <c r="BY4" s="16" t="s">
        <v>26</v>
      </c>
      <c r="BZ4" s="20" t="s">
        <v>26</v>
      </c>
      <c r="CA4" s="20" t="s">
        <v>26</v>
      </c>
      <c r="CB4" s="20" t="s">
        <v>26</v>
      </c>
      <c r="CC4" s="20" t="s">
        <v>26</v>
      </c>
      <c r="CD4" s="20" t="s">
        <v>26</v>
      </c>
      <c r="CE4" s="20" t="s">
        <v>26</v>
      </c>
      <c r="CF4" s="16" t="s">
        <v>26</v>
      </c>
      <c r="CG4" s="7"/>
      <c r="CH4" s="20" t="s">
        <v>131</v>
      </c>
      <c r="CI4" s="20" t="s">
        <v>131</v>
      </c>
      <c r="CJ4" s="20" t="s">
        <v>131</v>
      </c>
      <c r="CK4" s="20" t="s">
        <v>131</v>
      </c>
      <c r="CL4" s="20" t="s">
        <v>131</v>
      </c>
      <c r="CM4" s="16" t="s">
        <v>131</v>
      </c>
      <c r="CN4" s="20" t="s">
        <v>131</v>
      </c>
      <c r="CO4" s="20" t="s">
        <v>131</v>
      </c>
      <c r="CP4" s="20" t="s">
        <v>131</v>
      </c>
      <c r="CQ4" s="20" t="s">
        <v>131</v>
      </c>
      <c r="CR4" s="20" t="s">
        <v>131</v>
      </c>
      <c r="CS4" s="16" t="s">
        <v>131</v>
      </c>
      <c r="CU4" s="20" t="s">
        <v>131</v>
      </c>
      <c r="CV4" s="20" t="s">
        <v>131</v>
      </c>
      <c r="CW4" s="20" t="s">
        <v>131</v>
      </c>
      <c r="CX4" s="20" t="s">
        <v>131</v>
      </c>
      <c r="CY4" s="16" t="s">
        <v>131</v>
      </c>
      <c r="DA4" s="20" t="s">
        <v>136</v>
      </c>
      <c r="DB4" s="20" t="s">
        <v>33</v>
      </c>
      <c r="DC4" s="59"/>
      <c r="DD4" s="20" t="s">
        <v>137</v>
      </c>
      <c r="DE4" s="20" t="s">
        <v>33</v>
      </c>
      <c r="DF4" s="48" t="s">
        <v>28</v>
      </c>
      <c r="DG4" s="7"/>
      <c r="DH4" s="16" t="s">
        <v>126</v>
      </c>
      <c r="DI4" s="16" t="s">
        <v>126</v>
      </c>
      <c r="DJ4" s="7"/>
      <c r="DK4" s="20" t="s">
        <v>137</v>
      </c>
      <c r="DL4" s="20" t="s">
        <v>33</v>
      </c>
      <c r="DM4" s="7"/>
      <c r="DN4" s="20" t="s">
        <v>138</v>
      </c>
      <c r="DO4" s="20" t="s">
        <v>138</v>
      </c>
      <c r="DP4" s="7"/>
      <c r="DQ4" s="20" t="s">
        <v>33</v>
      </c>
      <c r="DR4" s="20" t="s">
        <v>33</v>
      </c>
      <c r="DS4" s="7"/>
      <c r="DT4" s="48" t="s">
        <v>28</v>
      </c>
      <c r="DU4" s="48" t="s">
        <v>28</v>
      </c>
      <c r="DV4" s="48" t="s">
        <v>28</v>
      </c>
      <c r="DX4" s="58" t="s">
        <v>26</v>
      </c>
      <c r="DY4" s="58" t="s">
        <v>26</v>
      </c>
      <c r="DZ4" s="58" t="s">
        <v>26</v>
      </c>
      <c r="EA4" s="58" t="s">
        <v>26</v>
      </c>
      <c r="EB4" s="58" t="s">
        <v>26</v>
      </c>
      <c r="EC4" s="58" t="s">
        <v>26</v>
      </c>
      <c r="ED4" s="58" t="s">
        <v>26</v>
      </c>
      <c r="EE4" s="58" t="s">
        <v>26</v>
      </c>
      <c r="EF4" s="58" t="s">
        <v>26</v>
      </c>
      <c r="EG4" s="58" t="s">
        <v>26</v>
      </c>
      <c r="EH4" s="58" t="s">
        <v>26</v>
      </c>
      <c r="EI4" s="58" t="s">
        <v>26</v>
      </c>
      <c r="EJ4" s="58" t="s">
        <v>26</v>
      </c>
      <c r="EK4" s="58" t="s">
        <v>26</v>
      </c>
      <c r="EL4" s="58" t="s">
        <v>26</v>
      </c>
      <c r="EM4" s="58" t="s">
        <v>26</v>
      </c>
      <c r="EN4" s="58" t="s">
        <v>26</v>
      </c>
      <c r="EO4" s="58" t="s">
        <v>26</v>
      </c>
      <c r="EP4" s="68" t="s">
        <v>26</v>
      </c>
    </row>
    <row r="5" spans="1:146" ht="40.5" customHeight="1" x14ac:dyDescent="0.4">
      <c r="A5" s="21" t="s">
        <v>34</v>
      </c>
      <c r="B5" s="21" t="s">
        <v>35</v>
      </c>
      <c r="C5" s="21" t="s">
        <v>36</v>
      </c>
      <c r="D5" s="21" t="s">
        <v>37</v>
      </c>
      <c r="E5" s="21" t="s">
        <v>38</v>
      </c>
      <c r="F5" s="21" t="s">
        <v>39</v>
      </c>
      <c r="G5" s="21" t="s">
        <v>39</v>
      </c>
      <c r="I5" s="21" t="s">
        <v>40</v>
      </c>
      <c r="J5" s="21" t="s">
        <v>41</v>
      </c>
      <c r="K5" s="21" t="s">
        <v>42</v>
      </c>
      <c r="L5" s="21" t="s">
        <v>43</v>
      </c>
      <c r="M5" s="22"/>
      <c r="N5" s="21" t="s">
        <v>44</v>
      </c>
      <c r="O5" s="21" t="s">
        <v>145</v>
      </c>
      <c r="P5" s="23" t="s">
        <v>45</v>
      </c>
      <c r="Q5" s="21" t="s">
        <v>46</v>
      </c>
      <c r="R5" s="21" t="s">
        <v>47</v>
      </c>
      <c r="S5" s="21" t="s">
        <v>48</v>
      </c>
      <c r="T5" s="21" t="s">
        <v>190</v>
      </c>
      <c r="U5" s="23" t="s">
        <v>49</v>
      </c>
      <c r="V5" s="23" t="s">
        <v>50</v>
      </c>
      <c r="W5" s="21" t="s">
        <v>51</v>
      </c>
      <c r="X5" s="23" t="s">
        <v>52</v>
      </c>
      <c r="Z5" s="23" t="s">
        <v>53</v>
      </c>
      <c r="AB5" s="21" t="s">
        <v>73</v>
      </c>
      <c r="AC5" s="21" t="s">
        <v>74</v>
      </c>
      <c r="AD5" s="21" t="s">
        <v>75</v>
      </c>
      <c r="AE5" s="21" t="s">
        <v>60</v>
      </c>
      <c r="AF5" s="23" t="s">
        <v>76</v>
      </c>
      <c r="AH5" s="21" t="s">
        <v>77</v>
      </c>
      <c r="AI5" s="21" t="s">
        <v>78</v>
      </c>
      <c r="AJ5" s="21" t="s">
        <v>79</v>
      </c>
      <c r="AK5" s="21" t="s">
        <v>80</v>
      </c>
      <c r="AL5" s="21" t="s">
        <v>81</v>
      </c>
      <c r="AM5" s="21" t="s">
        <v>82</v>
      </c>
      <c r="AN5" s="23" t="s">
        <v>83</v>
      </c>
      <c r="AO5" s="23" t="s">
        <v>84</v>
      </c>
      <c r="AQ5" s="23" t="s">
        <v>85</v>
      </c>
      <c r="AR5" s="24" t="s">
        <v>86</v>
      </c>
      <c r="AS5" s="24" t="s">
        <v>87</v>
      </c>
      <c r="AT5" s="23" t="s">
        <v>88</v>
      </c>
      <c r="AU5" s="23" t="s">
        <v>89</v>
      </c>
      <c r="AV5" s="23" t="s">
        <v>90</v>
      </c>
      <c r="AW5" s="23" t="s">
        <v>91</v>
      </c>
      <c r="AX5" s="7"/>
      <c r="AY5" s="24" t="s">
        <v>92</v>
      </c>
      <c r="AZ5" s="24" t="s">
        <v>93</v>
      </c>
      <c r="BA5" s="24" t="s">
        <v>94</v>
      </c>
      <c r="BB5" s="24" t="s">
        <v>95</v>
      </c>
      <c r="BC5" s="7"/>
      <c r="BD5" s="23" t="s">
        <v>96</v>
      </c>
      <c r="BE5" s="23" t="s">
        <v>97</v>
      </c>
      <c r="BF5" s="7"/>
      <c r="BG5" s="23" t="s">
        <v>98</v>
      </c>
      <c r="BH5" s="24" t="s">
        <v>86</v>
      </c>
      <c r="BI5" s="24" t="s">
        <v>87</v>
      </c>
      <c r="BJ5" s="23" t="s">
        <v>99</v>
      </c>
      <c r="BK5" s="23" t="s">
        <v>100</v>
      </c>
      <c r="BL5" s="23" t="s">
        <v>90</v>
      </c>
      <c r="BM5" s="23" t="s">
        <v>91</v>
      </c>
      <c r="BN5" s="7"/>
      <c r="BO5" s="21" t="s">
        <v>85</v>
      </c>
      <c r="BP5" s="21" t="s">
        <v>101</v>
      </c>
      <c r="BQ5" s="23" t="s">
        <v>102</v>
      </c>
      <c r="BS5" s="21" t="s">
        <v>103</v>
      </c>
      <c r="BT5" s="21" t="s">
        <v>104</v>
      </c>
      <c r="BU5" s="21" t="s">
        <v>105</v>
      </c>
      <c r="BV5" s="21" t="s">
        <v>106</v>
      </c>
      <c r="BW5" s="21" t="s">
        <v>107</v>
      </c>
      <c r="BX5" s="21" t="s">
        <v>108</v>
      </c>
      <c r="BY5" s="23" t="s">
        <v>109</v>
      </c>
      <c r="BZ5" s="21" t="s">
        <v>110</v>
      </c>
      <c r="CA5" s="21" t="s">
        <v>111</v>
      </c>
      <c r="CB5" s="21" t="s">
        <v>112</v>
      </c>
      <c r="CC5" s="21" t="s">
        <v>113</v>
      </c>
      <c r="CD5" s="25" t="s">
        <v>114</v>
      </c>
      <c r="CE5" s="21" t="s">
        <v>115</v>
      </c>
      <c r="CF5" s="23" t="s">
        <v>116</v>
      </c>
      <c r="CG5" s="7"/>
      <c r="CH5" s="21" t="s">
        <v>117</v>
      </c>
      <c r="CI5" s="21" t="s">
        <v>105</v>
      </c>
      <c r="CJ5" s="21" t="s">
        <v>106</v>
      </c>
      <c r="CK5" s="21" t="s">
        <v>107</v>
      </c>
      <c r="CL5" s="21" t="s">
        <v>108</v>
      </c>
      <c r="CM5" s="23" t="s">
        <v>109</v>
      </c>
      <c r="CN5" s="21" t="s">
        <v>118</v>
      </c>
      <c r="CO5" s="21" t="s">
        <v>112</v>
      </c>
      <c r="CP5" s="21" t="s">
        <v>113</v>
      </c>
      <c r="CQ5" s="21" t="s">
        <v>114</v>
      </c>
      <c r="CR5" s="21" t="s">
        <v>115</v>
      </c>
      <c r="CS5" s="23" t="s">
        <v>116</v>
      </c>
      <c r="CU5" s="21" t="s">
        <v>119</v>
      </c>
      <c r="CV5" s="21" t="s">
        <v>120</v>
      </c>
      <c r="CW5" s="21" t="s">
        <v>121</v>
      </c>
      <c r="CX5" s="21" t="s">
        <v>122</v>
      </c>
      <c r="CY5" s="23" t="s">
        <v>123</v>
      </c>
      <c r="DA5" s="23" t="s">
        <v>139</v>
      </c>
      <c r="DB5" s="23" t="s">
        <v>139</v>
      </c>
      <c r="DD5" s="23" t="s">
        <v>140</v>
      </c>
      <c r="DE5" s="21" t="s">
        <v>141</v>
      </c>
      <c r="DF5" s="23" t="s">
        <v>142</v>
      </c>
      <c r="DG5" s="7"/>
      <c r="DH5" s="21" t="s">
        <v>151</v>
      </c>
      <c r="DI5" s="21" t="s">
        <v>152</v>
      </c>
      <c r="DJ5" s="7"/>
      <c r="DK5" s="23" t="s">
        <v>147</v>
      </c>
      <c r="DL5" s="21" t="s">
        <v>147</v>
      </c>
      <c r="DM5" s="7"/>
      <c r="DN5" s="21" t="s">
        <v>144</v>
      </c>
      <c r="DO5" s="21" t="s">
        <v>148</v>
      </c>
      <c r="DP5" s="49"/>
      <c r="DQ5" s="21" t="s">
        <v>155</v>
      </c>
      <c r="DR5" s="21" t="s">
        <v>148</v>
      </c>
      <c r="DS5" s="7"/>
      <c r="DT5" s="21" t="s">
        <v>149</v>
      </c>
      <c r="DU5" s="21" t="s">
        <v>150</v>
      </c>
      <c r="DV5" s="23" t="s">
        <v>143</v>
      </c>
      <c r="DX5" s="21" t="s">
        <v>54</v>
      </c>
      <c r="DY5" s="21" t="s">
        <v>55</v>
      </c>
      <c r="DZ5" s="21" t="s">
        <v>56</v>
      </c>
      <c r="EA5" s="21" t="s">
        <v>57</v>
      </c>
      <c r="EB5" s="21" t="s">
        <v>58</v>
      </c>
      <c r="EC5" s="21" t="s">
        <v>59</v>
      </c>
      <c r="ED5" s="21" t="s">
        <v>60</v>
      </c>
      <c r="EE5" s="23" t="s">
        <v>61</v>
      </c>
      <c r="EF5" s="21" t="s">
        <v>62</v>
      </c>
      <c r="EG5" s="21" t="s">
        <v>63</v>
      </c>
      <c r="EH5" s="21" t="s">
        <v>64</v>
      </c>
      <c r="EI5" s="23" t="s">
        <v>65</v>
      </c>
      <c r="EJ5" s="21" t="s">
        <v>66</v>
      </c>
      <c r="EK5" s="21" t="s">
        <v>67</v>
      </c>
      <c r="EL5" s="21" t="s">
        <v>68</v>
      </c>
      <c r="EM5" s="21" t="s">
        <v>69</v>
      </c>
      <c r="EN5" s="23" t="s">
        <v>70</v>
      </c>
      <c r="EO5" s="23" t="s">
        <v>71</v>
      </c>
      <c r="EP5" s="69" t="s">
        <v>72</v>
      </c>
    </row>
    <row r="6" spans="1:146" x14ac:dyDescent="0.4">
      <c r="A6" s="26">
        <f>YEAR(B6)</f>
        <v>2018</v>
      </c>
      <c r="B6" s="27">
        <v>43101</v>
      </c>
      <c r="C6" s="28">
        <f>+B7-B6</f>
        <v>31</v>
      </c>
      <c r="D6" s="29">
        <v>18.701032258064583</v>
      </c>
      <c r="E6" s="29">
        <v>19.6525</v>
      </c>
      <c r="F6" s="29">
        <v>63.7</v>
      </c>
      <c r="G6" s="29">
        <v>69.08</v>
      </c>
      <c r="H6" s="7"/>
      <c r="I6" s="30">
        <v>26.13548387096774</v>
      </c>
      <c r="J6" s="29">
        <v>31.9</v>
      </c>
      <c r="K6" s="29">
        <v>19.149999999999999</v>
      </c>
      <c r="L6" s="30">
        <v>24.5</v>
      </c>
      <c r="M6" s="22"/>
      <c r="N6" s="31">
        <v>5468.6761840000045</v>
      </c>
      <c r="O6" s="31">
        <v>3607.3651590000004</v>
      </c>
      <c r="P6" s="32">
        <f>+SUM(N6:O6)</f>
        <v>9076.0413430000044</v>
      </c>
      <c r="Q6" s="31">
        <v>1174.0239019999999</v>
      </c>
      <c r="R6" s="31">
        <v>401.66930500000007</v>
      </c>
      <c r="S6" s="31">
        <v>1698.4487920000001</v>
      </c>
      <c r="T6" s="31"/>
      <c r="U6" s="32">
        <f>+SUM(Q6:S6)</f>
        <v>3274.1419990000004</v>
      </c>
      <c r="V6" s="32">
        <f t="shared" ref="V6:V37" si="0">N6+O6+U6</f>
        <v>12350.183342000004</v>
      </c>
      <c r="W6" s="33">
        <v>9.3366000000000005E-2</v>
      </c>
      <c r="X6" s="32">
        <f t="shared" ref="X6:X37" si="1">V6+W6</f>
        <v>12350.276708000003</v>
      </c>
      <c r="Z6" s="32">
        <v>25245</v>
      </c>
      <c r="AB6" s="34">
        <v>8341.2401829999999</v>
      </c>
      <c r="AC6" s="34">
        <v>638.61651199999994</v>
      </c>
      <c r="AD6" s="34">
        <v>3763.148392999999</v>
      </c>
      <c r="AE6" s="34">
        <v>5.7948849999999998</v>
      </c>
      <c r="AF6" s="32">
        <f t="shared" ref="AF6:AF53" si="2">SUM(AB6:AE6)</f>
        <v>12748.799972999999</v>
      </c>
      <c r="AH6" s="31">
        <v>3521.8625159999992</v>
      </c>
      <c r="AI6" s="31">
        <v>164.56375700000001</v>
      </c>
      <c r="AJ6" s="31">
        <v>56.153779000000007</v>
      </c>
      <c r="AK6" s="31">
        <v>1.6222610000000004</v>
      </c>
      <c r="AL6" s="31">
        <v>10.699467000000002</v>
      </c>
      <c r="AM6" s="31">
        <v>8.246613</v>
      </c>
      <c r="AN6" s="32">
        <f>SUM(AI6:AM6)</f>
        <v>241.28587700000003</v>
      </c>
      <c r="AO6" s="35">
        <f t="shared" ref="AO6:AO37" si="3">AN6/V6</f>
        <v>1.953702793864159E-2</v>
      </c>
      <c r="AQ6" s="30">
        <v>58.951771064516151</v>
      </c>
      <c r="AR6" s="36">
        <f>AY6+BA6</f>
        <v>48.38319185217388</v>
      </c>
      <c r="AS6" s="36">
        <f>AZ6+BB6</f>
        <v>10.568579212342268</v>
      </c>
      <c r="AT6" s="30">
        <v>33.634561999999995</v>
      </c>
      <c r="AU6" s="30">
        <v>40.262152999999991</v>
      </c>
      <c r="AV6" s="30">
        <v>90.834622999999993</v>
      </c>
      <c r="AW6" s="30">
        <f t="shared" ref="AW6:AW37" si="4">+AQ6+(AT6*9800+AU6*8580+AV6*5400)/8400/C6</f>
        <v>63.427865321582203</v>
      </c>
      <c r="AX6" s="7"/>
      <c r="AY6" s="36">
        <v>45.854789271528716</v>
      </c>
      <c r="AZ6" s="36">
        <v>10.568579212342268</v>
      </c>
      <c r="BA6" s="36">
        <v>2.5284025806451615</v>
      </c>
      <c r="BB6" s="36">
        <v>0</v>
      </c>
      <c r="BC6" s="7"/>
      <c r="BD6" s="32">
        <f t="shared" ref="BD6:BD37" si="5">+(AW6*C6*8400)/AB6</f>
        <v>1980.1151588227808</v>
      </c>
      <c r="BE6" s="32">
        <f t="shared" ref="BE6:BE37" si="6">+(AW6*C6*8400)/AF6</f>
        <v>1295.5428091051442</v>
      </c>
      <c r="BF6" s="7"/>
      <c r="BG6" s="30">
        <v>5.5182580133337629</v>
      </c>
      <c r="BH6" s="36">
        <v>5.4763011506097783</v>
      </c>
      <c r="BI6" s="36">
        <v>5.7103374686610406</v>
      </c>
      <c r="BJ6" s="28">
        <v>342.65850592428643</v>
      </c>
      <c r="BK6" s="28">
        <v>338.48690302110452</v>
      </c>
      <c r="BL6" s="28">
        <v>129.08694217334616</v>
      </c>
      <c r="BM6" s="30">
        <f t="shared" ref="BM6:BM37" si="7">+BQ6/(AW6*C6)*1000*0.027</f>
        <v>5.6352433085446911</v>
      </c>
      <c r="BN6" s="7"/>
      <c r="BO6" s="29">
        <f t="shared" ref="BO6:BO37" si="8">+BG6/0.027*AQ6*C6/1000</f>
        <v>373.50531760690723</v>
      </c>
      <c r="BP6" s="29">
        <f>+(BJ6*AT6+AU6*BK6+BL6*AV6)/1000</f>
        <v>36.878943966808343</v>
      </c>
      <c r="BQ6" s="30">
        <f>+BO6+BP6</f>
        <v>410.38426157371555</v>
      </c>
      <c r="BS6" s="31">
        <v>0</v>
      </c>
      <c r="BT6" s="31">
        <v>8.972999999999999E-2</v>
      </c>
      <c r="BU6" s="31">
        <v>0</v>
      </c>
      <c r="BV6" s="31">
        <v>0</v>
      </c>
      <c r="BW6" s="31">
        <v>0</v>
      </c>
      <c r="BX6" s="31">
        <v>0</v>
      </c>
      <c r="BY6" s="32">
        <f t="shared" ref="BY6:BY69" si="9">+BS6+BU6+BV6+BW6+BX6+BT6</f>
        <v>8.972999999999999E-2</v>
      </c>
      <c r="BZ6" s="31">
        <v>0</v>
      </c>
      <c r="CA6" s="31">
        <v>8.1503999999999993E-2</v>
      </c>
      <c r="CB6" s="31">
        <v>6.5325999999999995E-2</v>
      </c>
      <c r="CC6" s="31">
        <v>0.45642500000000003</v>
      </c>
      <c r="CD6" s="31">
        <v>5.19163</v>
      </c>
      <c r="CE6" s="31">
        <v>0</v>
      </c>
      <c r="CF6" s="32">
        <f>SUM(BZ6:CE6)</f>
        <v>5.7948849999999998</v>
      </c>
      <c r="CG6" s="7"/>
      <c r="CH6" s="31">
        <v>0</v>
      </c>
      <c r="CI6" s="31">
        <v>0</v>
      </c>
      <c r="CJ6" s="31">
        <v>0</v>
      </c>
      <c r="CK6" s="31">
        <v>0</v>
      </c>
      <c r="CL6" s="31">
        <v>0</v>
      </c>
      <c r="CM6" s="32">
        <f>IFERROR((CH6*BS6+CI6*BU6+CJ6*BV6+CK6*BW6+CL6*BX6)/BY6,0)</f>
        <v>0</v>
      </c>
      <c r="CN6" s="31">
        <v>12.212186744688971</v>
      </c>
      <c r="CO6" s="31">
        <v>0</v>
      </c>
      <c r="CP6" s="31">
        <v>127.21027859051013</v>
      </c>
      <c r="CQ6" s="31">
        <v>25.442055718102022</v>
      </c>
      <c r="CR6" s="31">
        <v>0</v>
      </c>
      <c r="CS6" s="32">
        <f t="shared" ref="CS6:CS69" si="10">IFERROR((CN6*BZ6+CO6*CB6+CP6*CC6+CQ6*CD6+CR6*CE6)/CF6,0)</f>
        <v>32.813022369459205</v>
      </c>
      <c r="CU6" s="61">
        <v>60.816730357653526</v>
      </c>
      <c r="CV6" s="61">
        <v>9.2428245408150858</v>
      </c>
      <c r="CW6" s="61">
        <v>2.8346082434088862</v>
      </c>
      <c r="CX6" s="62">
        <v>3.145836858122506</v>
      </c>
      <c r="CY6" s="63">
        <v>76.039999999999992</v>
      </c>
      <c r="DA6" s="32">
        <v>1541.5123790322559</v>
      </c>
      <c r="DB6" s="30">
        <v>82.569647425796688</v>
      </c>
      <c r="DD6" s="50">
        <v>881.73939949223427</v>
      </c>
      <c r="DE6" s="29">
        <f>+DD6/$E6</f>
        <v>44.866525861454484</v>
      </c>
      <c r="DF6" s="51">
        <f t="shared" ref="DF6:DF37" si="11">+DE6/CY6</f>
        <v>0.59003847792549302</v>
      </c>
      <c r="DG6" s="52"/>
      <c r="DH6" s="33"/>
      <c r="DI6" s="32"/>
      <c r="DJ6" s="52"/>
      <c r="DK6" s="50"/>
      <c r="DL6" s="50"/>
      <c r="DM6" s="52"/>
      <c r="DN6" s="31"/>
      <c r="DO6" s="31"/>
      <c r="DP6" s="53"/>
      <c r="DQ6" s="29"/>
      <c r="DR6" s="29"/>
      <c r="DS6" s="7"/>
      <c r="DT6" s="54"/>
      <c r="DU6" s="54"/>
      <c r="DV6" s="51"/>
      <c r="DX6" s="33"/>
      <c r="DY6" s="33"/>
      <c r="DZ6" s="33"/>
      <c r="EA6" s="33"/>
      <c r="EB6" s="33"/>
      <c r="EC6" s="33"/>
      <c r="ED6" s="33"/>
      <c r="EE6" s="32"/>
      <c r="EF6" s="33"/>
      <c r="EG6" s="33"/>
      <c r="EH6" s="33"/>
      <c r="EI6" s="32"/>
      <c r="EJ6" s="33"/>
      <c r="EK6" s="33"/>
      <c r="EL6" s="33"/>
      <c r="EM6" s="33"/>
      <c r="EN6" s="32"/>
      <c r="EO6" s="32"/>
      <c r="EP6" s="70">
        <f t="shared" ref="EP6:EP37" si="12">AF6</f>
        <v>12748.799972999999</v>
      </c>
    </row>
    <row r="7" spans="1:146" x14ac:dyDescent="0.4">
      <c r="A7" s="22">
        <f t="shared" ref="A7:A53" si="13">YEAR(B7)</f>
        <v>2018</v>
      </c>
      <c r="B7" s="37">
        <v>43132</v>
      </c>
      <c r="C7" s="38">
        <f t="shared" ref="C7:C41" si="14">+B8-B7</f>
        <v>28</v>
      </c>
      <c r="D7" s="39">
        <v>19.384285714285518</v>
      </c>
      <c r="E7" s="39">
        <v>20.114999999999998</v>
      </c>
      <c r="F7" s="39">
        <v>62.23</v>
      </c>
      <c r="G7" s="39">
        <v>65.319999999999993</v>
      </c>
      <c r="H7" s="7"/>
      <c r="I7" s="40">
        <v>25.18035714285714</v>
      </c>
      <c r="J7" s="39">
        <v>30.15</v>
      </c>
      <c r="K7" s="39">
        <v>18.05</v>
      </c>
      <c r="L7" s="40">
        <v>23.5</v>
      </c>
      <c r="M7" s="22"/>
      <c r="N7" s="41">
        <v>4963.9848649999976</v>
      </c>
      <c r="O7" s="41">
        <v>3278.1992520000008</v>
      </c>
      <c r="P7" s="42">
        <f t="shared" ref="P7:P70" si="15">+SUM(N7:O7)</f>
        <v>8242.1841169999989</v>
      </c>
      <c r="Q7" s="41">
        <v>1130.9644160000003</v>
      </c>
      <c r="R7" s="41">
        <v>419.24933000000016</v>
      </c>
      <c r="S7" s="41">
        <v>1611.8050440000013</v>
      </c>
      <c r="T7" s="41"/>
      <c r="U7" s="42">
        <f t="shared" ref="U7:U70" si="16">+SUM(Q7:S7)</f>
        <v>3162.0187900000019</v>
      </c>
      <c r="V7" s="42">
        <f t="shared" si="0"/>
        <v>11404.202907000001</v>
      </c>
      <c r="W7" s="39">
        <v>0</v>
      </c>
      <c r="X7" s="42">
        <f t="shared" si="1"/>
        <v>11404.202907000001</v>
      </c>
      <c r="Z7" s="42">
        <v>26320</v>
      </c>
      <c r="AB7" s="41">
        <v>7866.947416</v>
      </c>
      <c r="AC7" s="41">
        <v>572.05093899999997</v>
      </c>
      <c r="AD7" s="41">
        <v>3325.3310420000003</v>
      </c>
      <c r="AE7" s="41">
        <v>5.6618500000000003</v>
      </c>
      <c r="AF7" s="42">
        <f t="shared" si="2"/>
        <v>11769.991247</v>
      </c>
      <c r="AH7" s="41">
        <v>3117.4266259999999</v>
      </c>
      <c r="AI7" s="41">
        <v>140.34133800000001</v>
      </c>
      <c r="AJ7" s="41">
        <v>45.749388000000003</v>
      </c>
      <c r="AK7" s="41">
        <v>1.4189590000000001</v>
      </c>
      <c r="AL7" s="41">
        <v>13.642629000000001</v>
      </c>
      <c r="AM7" s="41">
        <v>6.7521020000000007</v>
      </c>
      <c r="AN7" s="42">
        <f t="shared" ref="AN7:AN53" si="17">SUM(AI7:AM7)</f>
        <v>207.90441600000003</v>
      </c>
      <c r="AO7" s="43">
        <f t="shared" si="3"/>
        <v>1.8230508321838649E-2</v>
      </c>
      <c r="AQ7" s="40">
        <v>59.792592892857165</v>
      </c>
      <c r="AR7" s="44">
        <f t="shared" ref="AR7:AS70" si="18">AY7+BA7</f>
        <v>47.127736255314574</v>
      </c>
      <c r="AS7" s="44">
        <f t="shared" si="18"/>
        <v>12.664856637542588</v>
      </c>
      <c r="AT7" s="40">
        <v>72.379760000000005</v>
      </c>
      <c r="AU7" s="40">
        <v>38.080616999999997</v>
      </c>
      <c r="AV7" s="40">
        <v>74.88036000000001</v>
      </c>
      <c r="AW7" s="40">
        <f t="shared" si="4"/>
        <v>65.916773530017025</v>
      </c>
      <c r="AX7" s="7"/>
      <c r="AY7" s="44">
        <v>44.251045898171718</v>
      </c>
      <c r="AZ7" s="44">
        <v>12.664856637542588</v>
      </c>
      <c r="BA7" s="44">
        <v>2.876690357142857</v>
      </c>
      <c r="BB7" s="44">
        <v>0</v>
      </c>
      <c r="BC7" s="7"/>
      <c r="BD7" s="38">
        <f t="shared" si="5"/>
        <v>1970.7294728738534</v>
      </c>
      <c r="BE7" s="38">
        <f t="shared" si="6"/>
        <v>1317.2163690615871</v>
      </c>
      <c r="BF7" s="7"/>
      <c r="BG7" s="40">
        <v>5.507254457739565</v>
      </c>
      <c r="BH7" s="44">
        <v>5.4526789951541446</v>
      </c>
      <c r="BI7" s="44">
        <v>5.7103375308722875</v>
      </c>
      <c r="BJ7" s="38">
        <v>331.575409186304</v>
      </c>
      <c r="BK7" s="38">
        <v>330.70414425166587</v>
      </c>
      <c r="BL7" s="38">
        <v>137.23869762021326</v>
      </c>
      <c r="BM7" s="40">
        <f t="shared" si="7"/>
        <v>5.6812303061437657</v>
      </c>
      <c r="BN7" s="7"/>
      <c r="BO7" s="39">
        <f t="shared" si="8"/>
        <v>341.48906166562409</v>
      </c>
      <c r="BP7" s="39">
        <f>+(BJ7*AT7+AU7*BK7+BL7*AV7)/1000</f>
        <v>46.869249480099633</v>
      </c>
      <c r="BQ7" s="40">
        <f>+BO7+BP7</f>
        <v>388.35831114572375</v>
      </c>
      <c r="BS7" s="41">
        <v>0</v>
      </c>
      <c r="BT7" s="41">
        <v>0</v>
      </c>
      <c r="BU7" s="41">
        <v>0</v>
      </c>
      <c r="BV7" s="41">
        <v>0</v>
      </c>
      <c r="BW7" s="41">
        <v>0</v>
      </c>
      <c r="BX7" s="41">
        <v>0</v>
      </c>
      <c r="BY7" s="42">
        <f t="shared" si="9"/>
        <v>0</v>
      </c>
      <c r="BZ7" s="41">
        <v>0</v>
      </c>
      <c r="CA7" s="41">
        <v>0</v>
      </c>
      <c r="CB7" s="41">
        <v>0</v>
      </c>
      <c r="CC7" s="41">
        <v>0</v>
      </c>
      <c r="CD7" s="41">
        <v>5.6618500000000003</v>
      </c>
      <c r="CE7" s="41">
        <v>0</v>
      </c>
      <c r="CF7" s="42">
        <f t="shared" ref="CF7:CF70" si="19">SUM(BZ7:CE7)</f>
        <v>5.6618500000000003</v>
      </c>
      <c r="CG7" s="7"/>
      <c r="CH7" s="41">
        <v>0</v>
      </c>
      <c r="CI7" s="41">
        <v>0</v>
      </c>
      <c r="CJ7" s="41">
        <v>0</v>
      </c>
      <c r="CK7" s="41">
        <v>0</v>
      </c>
      <c r="CL7" s="41">
        <v>0</v>
      </c>
      <c r="CM7" s="42">
        <f t="shared" ref="CM7:CM70" si="20">IFERROR((CH7*BS7+CI7*BU7+CJ7*BV7+CK7*BW7+CL7*BX7)/BY7,0)</f>
        <v>0</v>
      </c>
      <c r="CN7" s="41">
        <v>0</v>
      </c>
      <c r="CO7" s="41">
        <v>0</v>
      </c>
      <c r="CP7" s="41">
        <v>0</v>
      </c>
      <c r="CQ7" s="41">
        <v>25.000248570718384</v>
      </c>
      <c r="CR7" s="41">
        <v>0</v>
      </c>
      <c r="CS7" s="42">
        <f t="shared" si="10"/>
        <v>25.000248570718384</v>
      </c>
      <c r="CU7" s="64">
        <v>60.373757164350515</v>
      </c>
      <c r="CV7" s="64">
        <v>9.825913060734333</v>
      </c>
      <c r="CW7" s="64">
        <v>3.042694091428872</v>
      </c>
      <c r="CX7" s="65">
        <v>3.1376356834862826</v>
      </c>
      <c r="CY7" s="66">
        <v>76.38</v>
      </c>
      <c r="DA7" s="42">
        <v>1933.5785267857143</v>
      </c>
      <c r="DB7" s="40">
        <v>99.879248153571766</v>
      </c>
      <c r="DD7" s="42">
        <v>1030.4971746896058</v>
      </c>
      <c r="DE7" s="39">
        <f t="shared" ref="DE7:DE38" si="21">+DD7/E7</f>
        <v>51.230284598041557</v>
      </c>
      <c r="DF7" s="55">
        <f t="shared" si="11"/>
        <v>0.67072904684526791</v>
      </c>
      <c r="DH7" s="39"/>
      <c r="DI7" s="42"/>
      <c r="DK7" s="42"/>
      <c r="DL7" s="42"/>
      <c r="DN7" s="41"/>
      <c r="DO7" s="41"/>
      <c r="DQ7" s="39"/>
      <c r="DR7" s="39"/>
      <c r="DT7" s="56"/>
      <c r="DU7" s="56"/>
      <c r="DV7" s="55"/>
      <c r="DX7" s="39"/>
      <c r="DY7" s="39"/>
      <c r="DZ7" s="39"/>
      <c r="EA7" s="39"/>
      <c r="EB7" s="39"/>
      <c r="EC7" s="39"/>
      <c r="ED7" s="39"/>
      <c r="EE7" s="42"/>
      <c r="EF7" s="39"/>
      <c r="EG7" s="39"/>
      <c r="EH7" s="39"/>
      <c r="EI7" s="42"/>
      <c r="EJ7" s="39"/>
      <c r="EK7" s="39"/>
      <c r="EL7" s="39"/>
      <c r="EM7" s="39"/>
      <c r="EN7" s="42"/>
      <c r="EO7" s="39"/>
      <c r="EP7" s="71">
        <f t="shared" si="12"/>
        <v>11769.991247</v>
      </c>
    </row>
    <row r="8" spans="1:146" x14ac:dyDescent="0.4">
      <c r="A8" s="26">
        <f t="shared" si="13"/>
        <v>2018</v>
      </c>
      <c r="B8" s="27">
        <v>43160</v>
      </c>
      <c r="C8" s="28">
        <f t="shared" si="14"/>
        <v>31</v>
      </c>
      <c r="D8" s="29">
        <v>20.132193548386944</v>
      </c>
      <c r="E8" s="29">
        <v>20.1433</v>
      </c>
      <c r="F8" s="29">
        <v>62.72</v>
      </c>
      <c r="G8" s="29">
        <v>66.02</v>
      </c>
      <c r="H8" s="7"/>
      <c r="I8" s="30">
        <v>22.382258064516137</v>
      </c>
      <c r="J8" s="29">
        <v>28.55</v>
      </c>
      <c r="K8" s="29">
        <v>14.5</v>
      </c>
      <c r="L8" s="30">
        <v>21.5</v>
      </c>
      <c r="M8" s="22"/>
      <c r="N8" s="31">
        <v>4493.1041349999987</v>
      </c>
      <c r="O8" s="31">
        <v>3343.2891040000009</v>
      </c>
      <c r="P8" s="32">
        <f t="shared" si="15"/>
        <v>7836.3932389999991</v>
      </c>
      <c r="Q8" s="31">
        <v>1205.9153740000002</v>
      </c>
      <c r="R8" s="31">
        <v>400.73584099999999</v>
      </c>
      <c r="S8" s="31">
        <v>1804.1976929999996</v>
      </c>
      <c r="T8" s="31"/>
      <c r="U8" s="32">
        <f t="shared" si="16"/>
        <v>3410.8489079999999</v>
      </c>
      <c r="V8" s="32">
        <f t="shared" si="0"/>
        <v>11247.242146999999</v>
      </c>
      <c r="W8" s="33">
        <v>2.802</v>
      </c>
      <c r="X8" s="32">
        <f t="shared" si="1"/>
        <v>11250.044146999999</v>
      </c>
      <c r="Z8" s="32">
        <v>22960</v>
      </c>
      <c r="AB8" s="34">
        <v>7730.1203909999995</v>
      </c>
      <c r="AC8" s="34">
        <v>505.081321</v>
      </c>
      <c r="AD8" s="34">
        <v>3388.3704309999994</v>
      </c>
      <c r="AE8" s="34">
        <v>6.2326699999999997</v>
      </c>
      <c r="AF8" s="32">
        <f t="shared" si="2"/>
        <v>11629.804812999999</v>
      </c>
      <c r="AH8" s="31">
        <v>3191.8190809999996</v>
      </c>
      <c r="AI8" s="31">
        <v>127.57683900000001</v>
      </c>
      <c r="AJ8" s="31">
        <v>50.224648000000002</v>
      </c>
      <c r="AK8" s="31">
        <v>2.0160370000000003</v>
      </c>
      <c r="AL8" s="31">
        <v>6.6339420000000002</v>
      </c>
      <c r="AM8" s="31">
        <v>10.099884000000001</v>
      </c>
      <c r="AN8" s="32">
        <f t="shared" si="17"/>
        <v>196.55135000000001</v>
      </c>
      <c r="AO8" s="35">
        <f t="shared" si="3"/>
        <v>1.7475515102377926E-2</v>
      </c>
      <c r="AQ8" s="30">
        <v>54.500569903225831</v>
      </c>
      <c r="AR8" s="36">
        <f t="shared" si="18"/>
        <v>43.059556641581317</v>
      </c>
      <c r="AS8" s="36">
        <f t="shared" si="18"/>
        <v>11.441013261644514</v>
      </c>
      <c r="AT8" s="30">
        <v>16.354680000000002</v>
      </c>
      <c r="AU8" s="30">
        <v>21.791745999999989</v>
      </c>
      <c r="AV8" s="30">
        <v>94.556837000000002</v>
      </c>
      <c r="AW8" s="30">
        <f t="shared" si="4"/>
        <v>57.794947647004633</v>
      </c>
      <c r="AX8" s="7"/>
      <c r="AY8" s="36">
        <v>39.855273093194221</v>
      </c>
      <c r="AZ8" s="36">
        <v>11.441013261644514</v>
      </c>
      <c r="BA8" s="36">
        <v>3.2042835483870973</v>
      </c>
      <c r="BB8" s="36">
        <v>0</v>
      </c>
      <c r="BC8" s="7"/>
      <c r="BD8" s="32">
        <f t="shared" si="5"/>
        <v>1946.90426617445</v>
      </c>
      <c r="BE8" s="32">
        <f t="shared" si="6"/>
        <v>1294.0719650304941</v>
      </c>
      <c r="BF8" s="7"/>
      <c r="BG8" s="30">
        <v>5.4921898325601015</v>
      </c>
      <c r="BH8" s="36">
        <v>5.434227555571713</v>
      </c>
      <c r="BI8" s="36">
        <v>5.7103374644157272</v>
      </c>
      <c r="BJ8" s="28">
        <v>341.19956867912333</v>
      </c>
      <c r="BK8" s="28">
        <v>330.23952687108164</v>
      </c>
      <c r="BL8" s="28">
        <v>145.00878723212188</v>
      </c>
      <c r="BM8" s="30">
        <f t="shared" si="7"/>
        <v>5.5783061429186844</v>
      </c>
      <c r="BN8" s="7"/>
      <c r="BO8" s="29">
        <f t="shared" si="8"/>
        <v>343.67228713437294</v>
      </c>
      <c r="BP8" s="29">
        <f t="shared" ref="BP8:BP71" si="22">+(BJ8*AT8+AU8*BK8+BL8*AV8)/1000</f>
        <v>26.488277908495299</v>
      </c>
      <c r="BQ8" s="30">
        <f t="shared" ref="BQ8:BQ71" si="23">+BO8+BP8</f>
        <v>370.16056504286826</v>
      </c>
      <c r="BS8" s="31">
        <v>0</v>
      </c>
      <c r="BT8" s="31">
        <v>0</v>
      </c>
      <c r="BU8" s="31">
        <v>0</v>
      </c>
      <c r="BV8" s="31">
        <v>0</v>
      </c>
      <c r="BW8" s="31">
        <v>2.802</v>
      </c>
      <c r="BX8" s="31">
        <v>0</v>
      </c>
      <c r="BY8" s="32">
        <f t="shared" si="9"/>
        <v>2.802</v>
      </c>
      <c r="BZ8" s="31">
        <v>0</v>
      </c>
      <c r="CA8" s="31">
        <v>0</v>
      </c>
      <c r="CB8" s="31">
        <v>0</v>
      </c>
      <c r="CC8" s="31">
        <v>0</v>
      </c>
      <c r="CD8" s="31">
        <v>6.2326699999999997</v>
      </c>
      <c r="CE8" s="31">
        <v>0</v>
      </c>
      <c r="CF8" s="32">
        <f t="shared" si="19"/>
        <v>6.2326699999999997</v>
      </c>
      <c r="CG8" s="7"/>
      <c r="CH8" s="31">
        <v>0</v>
      </c>
      <c r="CI8" s="31">
        <v>0</v>
      </c>
      <c r="CJ8" s="31">
        <v>0</v>
      </c>
      <c r="CK8" s="31">
        <v>90</v>
      </c>
      <c r="CL8" s="31">
        <v>0</v>
      </c>
      <c r="CM8" s="32">
        <f t="shared" si="20"/>
        <v>90</v>
      </c>
      <c r="CN8" s="31">
        <v>0</v>
      </c>
      <c r="CO8" s="31">
        <v>0</v>
      </c>
      <c r="CP8" s="31">
        <v>0</v>
      </c>
      <c r="CQ8" s="31">
        <v>24.99987588925347</v>
      </c>
      <c r="CR8" s="31">
        <v>0</v>
      </c>
      <c r="CS8" s="32">
        <f t="shared" si="10"/>
        <v>24.99987588925347</v>
      </c>
      <c r="CU8" s="61">
        <v>59.196231798296431</v>
      </c>
      <c r="CV8" s="61">
        <v>9.150176640492127</v>
      </c>
      <c r="CW8" s="61">
        <v>3.053637299387586</v>
      </c>
      <c r="CX8" s="62">
        <v>3.3299542618238642</v>
      </c>
      <c r="CY8" s="63">
        <v>74.73</v>
      </c>
      <c r="DA8" s="32">
        <v>1735.3192204301129</v>
      </c>
      <c r="DB8" s="30">
        <v>86.299039181839348</v>
      </c>
      <c r="DD8" s="50">
        <v>1033.8500986947679</v>
      </c>
      <c r="DE8" s="29">
        <f t="shared" si="21"/>
        <v>51.324763007787595</v>
      </c>
      <c r="DF8" s="51">
        <f t="shared" si="11"/>
        <v>0.68680266302405446</v>
      </c>
      <c r="DH8" s="33"/>
      <c r="DI8" s="32"/>
      <c r="DK8" s="50"/>
      <c r="DL8" s="50"/>
      <c r="DN8" s="31"/>
      <c r="DO8" s="31"/>
      <c r="DQ8" s="29"/>
      <c r="DR8" s="29"/>
      <c r="DT8" s="54"/>
      <c r="DU8" s="54"/>
      <c r="DV8" s="51"/>
      <c r="DX8" s="33"/>
      <c r="DY8" s="33"/>
      <c r="DZ8" s="33"/>
      <c r="EA8" s="33"/>
      <c r="EB8" s="33"/>
      <c r="EC8" s="33"/>
      <c r="ED8" s="33"/>
      <c r="EE8" s="32"/>
      <c r="EF8" s="33"/>
      <c r="EG8" s="33"/>
      <c r="EH8" s="33"/>
      <c r="EI8" s="32"/>
      <c r="EJ8" s="33"/>
      <c r="EK8" s="33"/>
      <c r="EL8" s="33"/>
      <c r="EM8" s="33"/>
      <c r="EN8" s="32"/>
      <c r="EO8" s="32"/>
      <c r="EP8" s="70">
        <f t="shared" si="12"/>
        <v>11629.804812999999</v>
      </c>
    </row>
    <row r="9" spans="1:146" x14ac:dyDescent="0.4">
      <c r="A9" s="22">
        <f t="shared" si="13"/>
        <v>2018</v>
      </c>
      <c r="B9" s="37">
        <v>43191</v>
      </c>
      <c r="C9" s="38">
        <f t="shared" si="14"/>
        <v>30</v>
      </c>
      <c r="D9" s="39">
        <v>20.185066666666998</v>
      </c>
      <c r="E9" s="39">
        <v>20.691700000000001</v>
      </c>
      <c r="F9" s="39">
        <v>66.25</v>
      </c>
      <c r="G9" s="39">
        <v>72.11</v>
      </c>
      <c r="H9" s="7"/>
      <c r="I9" s="40">
        <v>22.08166666666666</v>
      </c>
      <c r="J9" s="39">
        <v>27.95</v>
      </c>
      <c r="K9" s="39">
        <v>14.55</v>
      </c>
      <c r="L9" s="40">
        <v>17.8</v>
      </c>
      <c r="M9" s="22"/>
      <c r="N9" s="41">
        <v>4084.2833749999977</v>
      </c>
      <c r="O9" s="41">
        <v>3131.783825</v>
      </c>
      <c r="P9" s="42">
        <f t="shared" si="15"/>
        <v>7216.0671999999977</v>
      </c>
      <c r="Q9" s="41">
        <v>1132.7010069999997</v>
      </c>
      <c r="R9" s="41">
        <v>401.62076200000007</v>
      </c>
      <c r="S9" s="41">
        <v>1742.9256329999976</v>
      </c>
      <c r="T9" s="41"/>
      <c r="U9" s="42">
        <f t="shared" si="16"/>
        <v>3277.2474019999972</v>
      </c>
      <c r="V9" s="42">
        <f t="shared" si="0"/>
        <v>10493.314601999995</v>
      </c>
      <c r="W9" s="39">
        <v>10.266999999999999</v>
      </c>
      <c r="X9" s="42">
        <f t="shared" si="1"/>
        <v>10503.581601999995</v>
      </c>
      <c r="Z9" s="42">
        <v>21763</v>
      </c>
      <c r="AB9" s="41">
        <v>7055.0241789999991</v>
      </c>
      <c r="AC9" s="41">
        <v>575.13059999999996</v>
      </c>
      <c r="AD9" s="41">
        <v>3217.5789829999999</v>
      </c>
      <c r="AE9" s="41">
        <v>5.6321000000000003</v>
      </c>
      <c r="AF9" s="42">
        <f t="shared" si="2"/>
        <v>10853.365861999999</v>
      </c>
      <c r="AH9" s="41">
        <v>3037.322748</v>
      </c>
      <c r="AI9" s="41">
        <v>101.65687299999998</v>
      </c>
      <c r="AJ9" s="41">
        <v>59.164577999999999</v>
      </c>
      <c r="AK9" s="41">
        <v>1.71438</v>
      </c>
      <c r="AL9" s="41">
        <v>6.3832730000000009</v>
      </c>
      <c r="AM9" s="41">
        <v>11.337131000000001</v>
      </c>
      <c r="AN9" s="42">
        <f t="shared" si="17"/>
        <v>180.25623499999998</v>
      </c>
      <c r="AO9" s="43">
        <f t="shared" si="3"/>
        <v>1.7178197913330806E-2</v>
      </c>
      <c r="AQ9" s="40">
        <v>55.376800400000036</v>
      </c>
      <c r="AR9" s="44">
        <f t="shared" si="18"/>
        <v>41.303273946574919</v>
      </c>
      <c r="AS9" s="44">
        <f t="shared" si="18"/>
        <v>14.073526453425121</v>
      </c>
      <c r="AT9" s="40">
        <v>5.075577</v>
      </c>
      <c r="AU9" s="40">
        <v>22.364535999999998</v>
      </c>
      <c r="AV9" s="40">
        <v>32.567011000000001</v>
      </c>
      <c r="AW9" s="40">
        <f t="shared" si="4"/>
        <v>57.033507673333368</v>
      </c>
      <c r="AX9" s="7"/>
      <c r="AY9" s="44">
        <v>38.051259613241584</v>
      </c>
      <c r="AZ9" s="44">
        <v>14.073526453425121</v>
      </c>
      <c r="BA9" s="44">
        <v>3.2520143333333329</v>
      </c>
      <c r="BB9" s="44">
        <v>0</v>
      </c>
      <c r="BC9" s="7"/>
      <c r="BD9" s="38">
        <f t="shared" si="5"/>
        <v>2037.1927252157489</v>
      </c>
      <c r="BE9" s="38">
        <f t="shared" si="6"/>
        <v>1324.2384082896413</v>
      </c>
      <c r="BF9" s="7"/>
      <c r="BG9" s="40">
        <v>5.3971114687582329</v>
      </c>
      <c r="BH9" s="44">
        <v>5.290383979715382</v>
      </c>
      <c r="BI9" s="44">
        <v>5.7103374915433109</v>
      </c>
      <c r="BJ9" s="38">
        <v>352.77259154263061</v>
      </c>
      <c r="BK9" s="38">
        <v>351.08257848653767</v>
      </c>
      <c r="BL9" s="38">
        <v>146.01348920161618</v>
      </c>
      <c r="BM9" s="40">
        <f t="shared" si="7"/>
        <v>5.4675324902296927</v>
      </c>
      <c r="BN9" s="7"/>
      <c r="BO9" s="39">
        <f t="shared" si="8"/>
        <v>332.08307171330637</v>
      </c>
      <c r="BP9" s="39">
        <f t="shared" si="22"/>
        <v>14.397546326376583</v>
      </c>
      <c r="BQ9" s="40">
        <f t="shared" si="23"/>
        <v>346.48061803968295</v>
      </c>
      <c r="BS9" s="41">
        <v>0</v>
      </c>
      <c r="BT9" s="41">
        <v>0</v>
      </c>
      <c r="BU9" s="41">
        <v>0</v>
      </c>
      <c r="BV9" s="41">
        <v>0</v>
      </c>
      <c r="BW9" s="41">
        <v>10.266999999999999</v>
      </c>
      <c r="BX9" s="41">
        <v>0</v>
      </c>
      <c r="BY9" s="42">
        <f t="shared" si="9"/>
        <v>10.266999999999999</v>
      </c>
      <c r="BZ9" s="41">
        <v>0</v>
      </c>
      <c r="CA9" s="41">
        <v>0</v>
      </c>
      <c r="CB9" s="41">
        <v>0</v>
      </c>
      <c r="CC9" s="41">
        <v>0</v>
      </c>
      <c r="CD9" s="41">
        <v>5.6321000000000003</v>
      </c>
      <c r="CE9" s="41">
        <v>0</v>
      </c>
      <c r="CF9" s="42">
        <f t="shared" si="19"/>
        <v>5.6321000000000003</v>
      </c>
      <c r="CG9" s="7"/>
      <c r="CH9" s="41">
        <v>0</v>
      </c>
      <c r="CI9" s="41">
        <v>0</v>
      </c>
      <c r="CJ9" s="41">
        <v>0</v>
      </c>
      <c r="CK9" s="41">
        <v>80</v>
      </c>
      <c r="CL9" s="41">
        <v>0</v>
      </c>
      <c r="CM9" s="42">
        <f t="shared" si="20"/>
        <v>80</v>
      </c>
      <c r="CN9" s="41">
        <v>0</v>
      </c>
      <c r="CO9" s="41">
        <v>0</v>
      </c>
      <c r="CP9" s="41">
        <v>0</v>
      </c>
      <c r="CQ9" s="41">
        <v>25.00036246417644</v>
      </c>
      <c r="CR9" s="41">
        <v>0</v>
      </c>
      <c r="CS9" s="42">
        <f t="shared" si="10"/>
        <v>25.00036246417644</v>
      </c>
      <c r="CU9" s="64">
        <v>60.925674376980972</v>
      </c>
      <c r="CV9" s="64">
        <v>9.012578976976787</v>
      </c>
      <c r="CW9" s="64">
        <v>3.1833810617660463</v>
      </c>
      <c r="CX9" s="65">
        <v>3.5283655842761914</v>
      </c>
      <c r="CY9" s="66">
        <v>76.649999999999991</v>
      </c>
      <c r="DA9" s="42">
        <v>1411.4674027777792</v>
      </c>
      <c r="DB9" s="40">
        <v>69.926082709862186</v>
      </c>
      <c r="DD9" s="42">
        <v>1031.8414629330418</v>
      </c>
      <c r="DE9" s="39">
        <f t="shared" si="21"/>
        <v>49.867408812859352</v>
      </c>
      <c r="DF9" s="55">
        <f t="shared" si="11"/>
        <v>0.6505858944926205</v>
      </c>
      <c r="DH9" s="39"/>
      <c r="DI9" s="42"/>
      <c r="DK9" s="42"/>
      <c r="DL9" s="42"/>
      <c r="DN9" s="41"/>
      <c r="DO9" s="41"/>
      <c r="DQ9" s="39"/>
      <c r="DR9" s="39"/>
      <c r="DT9" s="56"/>
      <c r="DU9" s="56"/>
      <c r="DV9" s="55"/>
      <c r="DX9" s="39"/>
      <c r="DY9" s="39"/>
      <c r="DZ9" s="39"/>
      <c r="EA9" s="39"/>
      <c r="EB9" s="39"/>
      <c r="EC9" s="39"/>
      <c r="ED9" s="39"/>
      <c r="EE9" s="42"/>
      <c r="EF9" s="39"/>
      <c r="EG9" s="39"/>
      <c r="EH9" s="39"/>
      <c r="EI9" s="42"/>
      <c r="EJ9" s="39"/>
      <c r="EK9" s="39"/>
      <c r="EL9" s="39"/>
      <c r="EM9" s="39"/>
      <c r="EN9" s="42"/>
      <c r="EO9" s="39"/>
      <c r="EP9" s="71">
        <f t="shared" si="12"/>
        <v>10853.365861999999</v>
      </c>
    </row>
    <row r="10" spans="1:146" x14ac:dyDescent="0.4">
      <c r="A10" s="26">
        <f t="shared" si="13"/>
        <v>2018</v>
      </c>
      <c r="B10" s="27">
        <v>43221</v>
      </c>
      <c r="C10" s="28">
        <f t="shared" si="14"/>
        <v>31</v>
      </c>
      <c r="D10" s="29">
        <v>21.087935483870584</v>
      </c>
      <c r="E10" s="29">
        <v>24.947500000000002</v>
      </c>
      <c r="F10" s="29">
        <v>69.98</v>
      </c>
      <c r="G10" s="29">
        <v>76.98</v>
      </c>
      <c r="H10" s="7"/>
      <c r="I10" s="30">
        <v>16.606451612903225</v>
      </c>
      <c r="J10" s="29">
        <v>21.3</v>
      </c>
      <c r="K10" s="29">
        <v>11.3</v>
      </c>
      <c r="L10" s="30">
        <v>14.600000000000001</v>
      </c>
      <c r="M10" s="22"/>
      <c r="N10" s="31">
        <v>4282.854741000001</v>
      </c>
      <c r="O10" s="31">
        <v>3097.5601230000002</v>
      </c>
      <c r="P10" s="32">
        <f t="shared" si="15"/>
        <v>7380.4148640000012</v>
      </c>
      <c r="Q10" s="31">
        <v>1134.575875</v>
      </c>
      <c r="R10" s="31">
        <v>389.99531400000006</v>
      </c>
      <c r="S10" s="31">
        <v>1760.4754820000014</v>
      </c>
      <c r="T10" s="31"/>
      <c r="U10" s="32">
        <f t="shared" si="16"/>
        <v>3285.0466710000014</v>
      </c>
      <c r="V10" s="32">
        <f t="shared" si="0"/>
        <v>10665.461535000002</v>
      </c>
      <c r="W10" s="33">
        <v>0</v>
      </c>
      <c r="X10" s="32">
        <f t="shared" si="1"/>
        <v>10665.461535000002</v>
      </c>
      <c r="Z10" s="32">
        <v>21308</v>
      </c>
      <c r="AB10" s="34">
        <v>7144.1699760000001</v>
      </c>
      <c r="AC10" s="34">
        <v>752.50125600000001</v>
      </c>
      <c r="AD10" s="34">
        <v>3104.49496</v>
      </c>
      <c r="AE10" s="34">
        <v>17.736069999999998</v>
      </c>
      <c r="AF10" s="32">
        <f t="shared" si="2"/>
        <v>11018.902262000001</v>
      </c>
      <c r="AH10" s="31">
        <v>2922.5688909999999</v>
      </c>
      <c r="AI10" s="31">
        <v>85.473926000000006</v>
      </c>
      <c r="AJ10" s="31">
        <v>62.780574999999999</v>
      </c>
      <c r="AK10" s="31">
        <v>1.2571550000000002</v>
      </c>
      <c r="AL10" s="31">
        <v>19.711655</v>
      </c>
      <c r="AM10" s="31">
        <v>12.702758000000001</v>
      </c>
      <c r="AN10" s="32">
        <f t="shared" si="17"/>
        <v>181.92606900000001</v>
      </c>
      <c r="AO10" s="35">
        <f t="shared" si="3"/>
        <v>1.7057496143320906E-2</v>
      </c>
      <c r="AQ10" s="30">
        <v>50.223666935483891</v>
      </c>
      <c r="AR10" s="36">
        <f t="shared" si="18"/>
        <v>39.145577496832125</v>
      </c>
      <c r="AS10" s="36">
        <f t="shared" si="18"/>
        <v>11.078089438651768</v>
      </c>
      <c r="AT10" s="30">
        <v>8.2835650000000012</v>
      </c>
      <c r="AU10" s="30">
        <v>14.416976</v>
      </c>
      <c r="AV10" s="30">
        <v>33.259476999999997</v>
      </c>
      <c r="AW10" s="30">
        <f t="shared" si="4"/>
        <v>51.700156055606776</v>
      </c>
      <c r="AX10" s="7"/>
      <c r="AY10" s="36">
        <v>36.430360077477289</v>
      </c>
      <c r="AZ10" s="36">
        <v>11.078089438651768</v>
      </c>
      <c r="BA10" s="36">
        <v>2.7152174193548388</v>
      </c>
      <c r="BB10" s="36">
        <v>0</v>
      </c>
      <c r="BC10" s="7"/>
      <c r="BD10" s="32">
        <f t="shared" si="5"/>
        <v>1884.4345364271053</v>
      </c>
      <c r="BE10" s="32">
        <f t="shared" si="6"/>
        <v>1221.7841956278896</v>
      </c>
      <c r="BF10" s="7"/>
      <c r="BG10" s="30">
        <v>5.5292487987173402</v>
      </c>
      <c r="BH10" s="36">
        <v>5.4780012184375932</v>
      </c>
      <c r="BI10" s="36">
        <v>5.7103374364716561</v>
      </c>
      <c r="BJ10" s="28">
        <v>329.31889270981037</v>
      </c>
      <c r="BK10" s="28">
        <v>352.38463108056743</v>
      </c>
      <c r="BL10" s="28">
        <v>149.47379370542305</v>
      </c>
      <c r="BM10" s="30">
        <f t="shared" si="7"/>
        <v>5.5866337194097717</v>
      </c>
      <c r="BN10" s="7"/>
      <c r="BO10" s="29">
        <f t="shared" si="8"/>
        <v>318.83976489541953</v>
      </c>
      <c r="BP10" s="29">
        <f t="shared" si="22"/>
        <v>12.779675426395396</v>
      </c>
      <c r="BQ10" s="30">
        <f t="shared" si="23"/>
        <v>331.61944032181492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2">
        <f t="shared" si="9"/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17.736069999999998</v>
      </c>
      <c r="CE10" s="31">
        <v>0</v>
      </c>
      <c r="CF10" s="32">
        <f t="shared" si="19"/>
        <v>17.736069999999998</v>
      </c>
      <c r="CG10" s="7"/>
      <c r="CH10" s="31">
        <v>0</v>
      </c>
      <c r="CI10" s="31">
        <v>0</v>
      </c>
      <c r="CJ10" s="31">
        <v>0</v>
      </c>
      <c r="CK10" s="31">
        <v>0</v>
      </c>
      <c r="CL10" s="31">
        <v>0</v>
      </c>
      <c r="CM10" s="32">
        <f t="shared" si="20"/>
        <v>0</v>
      </c>
      <c r="CN10" s="31">
        <v>0</v>
      </c>
      <c r="CO10" s="31">
        <v>0</v>
      </c>
      <c r="CP10" s="31">
        <v>0</v>
      </c>
      <c r="CQ10" s="31">
        <v>25.000100210441968</v>
      </c>
      <c r="CR10" s="31">
        <v>0</v>
      </c>
      <c r="CS10" s="32">
        <f t="shared" si="10"/>
        <v>25.000100210441968</v>
      </c>
      <c r="CU10" s="61">
        <v>61.95428468992457</v>
      </c>
      <c r="CV10" s="61">
        <v>10.695319387573488</v>
      </c>
      <c r="CW10" s="61">
        <v>2.5811705086681558</v>
      </c>
      <c r="CX10" s="62">
        <v>2.9192254138337805</v>
      </c>
      <c r="CY10" s="63">
        <v>78.149999999999991</v>
      </c>
      <c r="DA10" s="32">
        <v>1483.4576209677432</v>
      </c>
      <c r="DB10" s="30">
        <v>69.932869377312443</v>
      </c>
      <c r="DD10" s="50">
        <v>1028.7422510162162</v>
      </c>
      <c r="DE10" s="29">
        <f t="shared" si="21"/>
        <v>41.236286241756332</v>
      </c>
      <c r="DF10" s="51">
        <f t="shared" si="11"/>
        <v>0.52765561409796979</v>
      </c>
      <c r="DH10" s="33"/>
      <c r="DI10" s="32"/>
      <c r="DK10" s="50"/>
      <c r="DL10" s="50"/>
      <c r="DN10" s="31"/>
      <c r="DO10" s="31"/>
      <c r="DQ10" s="29"/>
      <c r="DR10" s="29"/>
      <c r="DT10" s="54"/>
      <c r="DU10" s="54"/>
      <c r="DV10" s="51"/>
      <c r="DX10" s="33"/>
      <c r="DY10" s="33"/>
      <c r="DZ10" s="33"/>
      <c r="EA10" s="33"/>
      <c r="EB10" s="33"/>
      <c r="EC10" s="33"/>
      <c r="ED10" s="33"/>
      <c r="EE10" s="32"/>
      <c r="EF10" s="33"/>
      <c r="EG10" s="33"/>
      <c r="EH10" s="33"/>
      <c r="EI10" s="32"/>
      <c r="EJ10" s="33"/>
      <c r="EK10" s="33"/>
      <c r="EL10" s="33"/>
      <c r="EM10" s="33"/>
      <c r="EN10" s="32"/>
      <c r="EO10" s="32"/>
      <c r="EP10" s="70">
        <f t="shared" si="12"/>
        <v>11018.902262000001</v>
      </c>
    </row>
    <row r="11" spans="1:146" x14ac:dyDescent="0.4">
      <c r="A11" s="22">
        <f t="shared" si="13"/>
        <v>2018</v>
      </c>
      <c r="B11" s="37">
        <v>43252</v>
      </c>
      <c r="C11" s="38">
        <f t="shared" si="14"/>
        <v>30</v>
      </c>
      <c r="D11" s="39">
        <v>24.715500000000347</v>
      </c>
      <c r="E11" s="39">
        <v>28.861699999999999</v>
      </c>
      <c r="F11" s="39">
        <v>67.87</v>
      </c>
      <c r="G11" s="39">
        <v>74.040000000000006</v>
      </c>
      <c r="H11" s="7"/>
      <c r="I11" s="40">
        <v>11.306666666666667</v>
      </c>
      <c r="J11" s="39">
        <v>15.55</v>
      </c>
      <c r="K11" s="39">
        <v>4.95</v>
      </c>
      <c r="L11" s="40">
        <v>11.600000000000001</v>
      </c>
      <c r="M11" s="22"/>
      <c r="N11" s="41">
        <v>5589.9288539999961</v>
      </c>
      <c r="O11" s="41">
        <v>3223.2705489999994</v>
      </c>
      <c r="P11" s="42">
        <f t="shared" si="15"/>
        <v>8813.1994029999951</v>
      </c>
      <c r="Q11" s="41">
        <v>1091.1213739999998</v>
      </c>
      <c r="R11" s="41">
        <v>369.91164199999997</v>
      </c>
      <c r="S11" s="41">
        <v>1651.6799540000011</v>
      </c>
      <c r="T11" s="41"/>
      <c r="U11" s="42">
        <f t="shared" si="16"/>
        <v>3112.712970000001</v>
      </c>
      <c r="V11" s="42">
        <f t="shared" si="0"/>
        <v>11925.912372999996</v>
      </c>
      <c r="W11" s="39">
        <v>0</v>
      </c>
      <c r="X11" s="42">
        <f t="shared" si="1"/>
        <v>11925.912372999996</v>
      </c>
      <c r="Z11" s="42">
        <v>23831</v>
      </c>
      <c r="AB11" s="41">
        <v>8103.9540040000002</v>
      </c>
      <c r="AC11" s="41">
        <v>741.41459900000007</v>
      </c>
      <c r="AD11" s="41">
        <v>3459.4319919999994</v>
      </c>
      <c r="AE11" s="41">
        <v>11.299595</v>
      </c>
      <c r="AF11" s="42">
        <f t="shared" si="2"/>
        <v>12316.100190000001</v>
      </c>
      <c r="AH11" s="41">
        <v>3250.3974139999996</v>
      </c>
      <c r="AI11" s="41">
        <v>71.216266000000005</v>
      </c>
      <c r="AJ11" s="41">
        <v>90.840022000000019</v>
      </c>
      <c r="AK11" s="41">
        <v>1.2771809999999999</v>
      </c>
      <c r="AL11" s="41">
        <v>33.333126999999998</v>
      </c>
      <c r="AM11" s="41">
        <v>12.367982000000001</v>
      </c>
      <c r="AN11" s="42">
        <f t="shared" si="17"/>
        <v>209.03457800000004</v>
      </c>
      <c r="AO11" s="43">
        <f t="shared" si="3"/>
        <v>1.7527764037009844E-2</v>
      </c>
      <c r="AQ11" s="40">
        <v>40.337709966666651</v>
      </c>
      <c r="AR11" s="44">
        <f t="shared" si="18"/>
        <v>31.459147334981999</v>
      </c>
      <c r="AS11" s="44">
        <f t="shared" si="18"/>
        <v>8.8785626316846535</v>
      </c>
      <c r="AT11" s="40">
        <v>197.44615499999995</v>
      </c>
      <c r="AU11" s="40">
        <v>360.34665400000006</v>
      </c>
      <c r="AV11" s="40">
        <v>101.86181700000002</v>
      </c>
      <c r="AW11" s="40">
        <f t="shared" si="4"/>
        <v>62.467870371904752</v>
      </c>
      <c r="AX11" s="7"/>
      <c r="AY11" s="44">
        <v>28.353278668315333</v>
      </c>
      <c r="AZ11" s="44">
        <v>8.8785626316846535</v>
      </c>
      <c r="BA11" s="44">
        <v>3.1058686666666668</v>
      </c>
      <c r="BB11" s="44">
        <v>0</v>
      </c>
      <c r="BC11" s="7"/>
      <c r="BD11" s="38">
        <f t="shared" si="5"/>
        <v>1942.4966289233641</v>
      </c>
      <c r="BE11" s="38">
        <f t="shared" si="6"/>
        <v>1278.1564854840628</v>
      </c>
      <c r="BF11" s="7"/>
      <c r="BG11" s="40">
        <v>5.4178546111491928</v>
      </c>
      <c r="BH11" s="44">
        <v>5.3353085952725303</v>
      </c>
      <c r="BI11" s="44">
        <v>5.7103374581037727</v>
      </c>
      <c r="BJ11" s="38">
        <v>443.73523752128938</v>
      </c>
      <c r="BK11" s="38">
        <v>365.11028621701757</v>
      </c>
      <c r="BL11" s="38">
        <v>145.932720423419</v>
      </c>
      <c r="BM11" s="40">
        <f t="shared" si="7"/>
        <v>6.8704823466223566</v>
      </c>
      <c r="BN11" s="7"/>
      <c r="BO11" s="39">
        <f t="shared" si="8"/>
        <v>242.82649771789295</v>
      </c>
      <c r="BP11" s="39">
        <f t="shared" si="22"/>
        <v>234.04505852795739</v>
      </c>
      <c r="BQ11" s="40">
        <f t="shared" si="23"/>
        <v>476.87155624585034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42">
        <f t="shared" si="9"/>
        <v>0</v>
      </c>
      <c r="BZ11" s="41">
        <v>0</v>
      </c>
      <c r="CA11" s="41">
        <v>0</v>
      </c>
      <c r="CB11" s="41">
        <v>0</v>
      </c>
      <c r="CC11" s="41">
        <v>0.71812500000000001</v>
      </c>
      <c r="CD11" s="41">
        <v>10.581469999999999</v>
      </c>
      <c r="CE11" s="41">
        <v>0</v>
      </c>
      <c r="CF11" s="42">
        <f t="shared" si="19"/>
        <v>11.299595</v>
      </c>
      <c r="CG11" s="7"/>
      <c r="CH11" s="41">
        <v>0</v>
      </c>
      <c r="CI11" s="41">
        <v>0</v>
      </c>
      <c r="CJ11" s="41">
        <v>0</v>
      </c>
      <c r="CK11" s="41">
        <v>0</v>
      </c>
      <c r="CL11" s="41">
        <v>0</v>
      </c>
      <c r="CM11" s="42">
        <f t="shared" si="20"/>
        <v>0</v>
      </c>
      <c r="CN11" s="41">
        <v>0</v>
      </c>
      <c r="CO11" s="41">
        <v>0</v>
      </c>
      <c r="CP11" s="41">
        <v>144.03170984384147</v>
      </c>
      <c r="CQ11" s="41">
        <v>24.999913380015741</v>
      </c>
      <c r="CR11" s="41">
        <v>0</v>
      </c>
      <c r="CS11" s="42">
        <f t="shared" si="10"/>
        <v>32.564760512641719</v>
      </c>
      <c r="CU11" s="64">
        <v>67.36122803310667</v>
      </c>
      <c r="CV11" s="64">
        <v>10.067102054489862</v>
      </c>
      <c r="CW11" s="64">
        <v>6.4731100235021559</v>
      </c>
      <c r="CX11" s="65">
        <v>2.3685598889013275</v>
      </c>
      <c r="CY11" s="66">
        <v>86.270000000000024</v>
      </c>
      <c r="DA11" s="42">
        <v>3228.8667361111075</v>
      </c>
      <c r="DB11" s="40">
        <v>130.62861588317276</v>
      </c>
      <c r="DD11" s="42">
        <v>1027.724271470953</v>
      </c>
      <c r="DE11" s="39">
        <f t="shared" si="21"/>
        <v>35.608584091406712</v>
      </c>
      <c r="DF11" s="55">
        <f t="shared" si="11"/>
        <v>0.4127574370164217</v>
      </c>
      <c r="DH11" s="39"/>
      <c r="DI11" s="42"/>
      <c r="DK11" s="42"/>
      <c r="DL11" s="42"/>
      <c r="DN11" s="41"/>
      <c r="DO11" s="41"/>
      <c r="DQ11" s="39"/>
      <c r="DR11" s="39"/>
      <c r="DT11" s="56"/>
      <c r="DU11" s="56"/>
      <c r="DV11" s="55"/>
      <c r="DX11" s="39"/>
      <c r="DY11" s="39"/>
      <c r="DZ11" s="39"/>
      <c r="EA11" s="39"/>
      <c r="EB11" s="39"/>
      <c r="EC11" s="39"/>
      <c r="ED11" s="39"/>
      <c r="EE11" s="42"/>
      <c r="EF11" s="39"/>
      <c r="EG11" s="39"/>
      <c r="EH11" s="39"/>
      <c r="EI11" s="42"/>
      <c r="EJ11" s="39"/>
      <c r="EK11" s="39"/>
      <c r="EL11" s="39"/>
      <c r="EM11" s="39"/>
      <c r="EN11" s="42"/>
      <c r="EO11" s="39"/>
      <c r="EP11" s="71">
        <f t="shared" si="12"/>
        <v>12316.100190000001</v>
      </c>
    </row>
    <row r="12" spans="1:146" x14ac:dyDescent="0.4">
      <c r="A12" s="26">
        <f t="shared" si="13"/>
        <v>2018</v>
      </c>
      <c r="B12" s="27">
        <v>43282</v>
      </c>
      <c r="C12" s="28">
        <f t="shared" si="14"/>
        <v>31</v>
      </c>
      <c r="D12" s="29">
        <v>27.251774193548357</v>
      </c>
      <c r="E12" s="29">
        <v>27.342500000000001</v>
      </c>
      <c r="F12" s="29">
        <v>70.98</v>
      </c>
      <c r="G12" s="29">
        <v>74.25</v>
      </c>
      <c r="H12" s="7"/>
      <c r="I12" s="30">
        <v>10.827419354838712</v>
      </c>
      <c r="J12" s="29">
        <v>17.25</v>
      </c>
      <c r="K12" s="29">
        <v>6.15</v>
      </c>
      <c r="L12" s="30">
        <v>11.100000000000001</v>
      </c>
      <c r="M12" s="22"/>
      <c r="N12" s="31">
        <v>6193.3569180000022</v>
      </c>
      <c r="O12" s="31">
        <v>3301.6065360000007</v>
      </c>
      <c r="P12" s="32">
        <f t="shared" si="15"/>
        <v>9494.9634540000025</v>
      </c>
      <c r="Q12" s="31">
        <v>1093.8228539999998</v>
      </c>
      <c r="R12" s="31">
        <v>366.997863</v>
      </c>
      <c r="S12" s="31">
        <v>1651.7685750000005</v>
      </c>
      <c r="T12" s="31"/>
      <c r="U12" s="32">
        <f t="shared" si="16"/>
        <v>3112.5892920000006</v>
      </c>
      <c r="V12" s="32">
        <f t="shared" si="0"/>
        <v>12607.552746000003</v>
      </c>
      <c r="W12" s="33">
        <v>0.126558</v>
      </c>
      <c r="X12" s="32">
        <f t="shared" si="1"/>
        <v>12607.679304000003</v>
      </c>
      <c r="Z12" s="32">
        <v>23774</v>
      </c>
      <c r="AB12" s="34">
        <v>8479.600167999999</v>
      </c>
      <c r="AC12" s="34">
        <v>706.41036499999996</v>
      </c>
      <c r="AD12" s="34">
        <v>3840.6379440000005</v>
      </c>
      <c r="AE12" s="34">
        <v>12.295168</v>
      </c>
      <c r="AF12" s="32">
        <f t="shared" si="2"/>
        <v>13038.943644999999</v>
      </c>
      <c r="AH12" s="31">
        <v>3612.520469</v>
      </c>
      <c r="AI12" s="31">
        <v>86.380559000000019</v>
      </c>
      <c r="AJ12" s="31">
        <v>91.467477000000002</v>
      </c>
      <c r="AK12" s="31">
        <v>3.19509</v>
      </c>
      <c r="AL12" s="31">
        <v>33.866884999999996</v>
      </c>
      <c r="AM12" s="31">
        <v>13.207464000000002</v>
      </c>
      <c r="AN12" s="32">
        <f t="shared" si="17"/>
        <v>228.11747500000001</v>
      </c>
      <c r="AO12" s="35">
        <f t="shared" si="3"/>
        <v>1.8093715695329915E-2</v>
      </c>
      <c r="AQ12" s="30">
        <v>43.804520129032241</v>
      </c>
      <c r="AR12" s="36">
        <f t="shared" si="18"/>
        <v>32.794818070048727</v>
      </c>
      <c r="AS12" s="36">
        <f t="shared" si="18"/>
        <v>11.009702058983514</v>
      </c>
      <c r="AT12" s="30">
        <v>168.87130600000012</v>
      </c>
      <c r="AU12" s="30">
        <v>289.31212899999991</v>
      </c>
      <c r="AV12" s="30">
        <v>103.85579999999999</v>
      </c>
      <c r="AW12" s="30">
        <f t="shared" si="4"/>
        <v>61.84621823049153</v>
      </c>
      <c r="AX12" s="7"/>
      <c r="AY12" s="36">
        <v>29.558357747468083</v>
      </c>
      <c r="AZ12" s="36">
        <v>11.009702058983514</v>
      </c>
      <c r="BA12" s="36">
        <v>3.236460322580645</v>
      </c>
      <c r="BB12" s="36">
        <v>0</v>
      </c>
      <c r="BC12" s="7"/>
      <c r="BD12" s="32">
        <f t="shared" si="5"/>
        <v>1899.2352125275345</v>
      </c>
      <c r="BE12" s="32">
        <f t="shared" si="6"/>
        <v>1235.1272975549391</v>
      </c>
      <c r="BF12" s="7"/>
      <c r="BG12" s="30">
        <v>5.9261787841032936</v>
      </c>
      <c r="BH12" s="36">
        <v>5.5789560086456156</v>
      </c>
      <c r="BI12" s="36">
        <v>6.9604581578689535</v>
      </c>
      <c r="BJ12" s="28">
        <v>470.78773847990846</v>
      </c>
      <c r="BK12" s="28">
        <v>566.29795037534018</v>
      </c>
      <c r="BL12" s="28">
        <v>147.88157183356927</v>
      </c>
      <c r="BM12" s="30">
        <f t="shared" si="7"/>
        <v>7.8405897695771039</v>
      </c>
      <c r="BN12" s="7"/>
      <c r="BO12" s="29">
        <f t="shared" si="8"/>
        <v>298.05170196042195</v>
      </c>
      <c r="BP12" s="29">
        <f t="shared" si="22"/>
        <v>258.69776486534744</v>
      </c>
      <c r="BQ12" s="30">
        <f t="shared" si="23"/>
        <v>556.74946682576933</v>
      </c>
      <c r="BS12" s="31">
        <v>0</v>
      </c>
      <c r="BT12" s="31">
        <v>0.126558</v>
      </c>
      <c r="BU12" s="31">
        <v>0</v>
      </c>
      <c r="BV12" s="31">
        <v>0</v>
      </c>
      <c r="BW12" s="31">
        <v>0</v>
      </c>
      <c r="BX12" s="31">
        <v>0</v>
      </c>
      <c r="BY12" s="32">
        <f t="shared" si="9"/>
        <v>0.126558</v>
      </c>
      <c r="BZ12" s="31">
        <v>0</v>
      </c>
      <c r="CA12" s="31">
        <v>0.12043800000000002</v>
      </c>
      <c r="CB12" s="31">
        <v>0</v>
      </c>
      <c r="CC12" s="31">
        <v>0.16505</v>
      </c>
      <c r="CD12" s="31">
        <v>12.009679999999999</v>
      </c>
      <c r="CE12" s="31">
        <v>0</v>
      </c>
      <c r="CF12" s="32">
        <f t="shared" si="19"/>
        <v>12.295168</v>
      </c>
      <c r="CG12" s="7"/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32">
        <f t="shared" si="20"/>
        <v>0</v>
      </c>
      <c r="CN12" s="31">
        <v>8.7775441163024599</v>
      </c>
      <c r="CO12" s="31">
        <v>0</v>
      </c>
      <c r="CP12" s="31">
        <v>144.02486970832953</v>
      </c>
      <c r="CQ12" s="31">
        <v>24.999908567248813</v>
      </c>
      <c r="CR12" s="31">
        <v>0</v>
      </c>
      <c r="CS12" s="32">
        <f t="shared" si="10"/>
        <v>26.352808409553774</v>
      </c>
      <c r="CU12" s="61">
        <v>72.893684880256629</v>
      </c>
      <c r="CV12" s="61">
        <v>9.3150193470770795</v>
      </c>
      <c r="CW12" s="61">
        <v>7.162239744052104</v>
      </c>
      <c r="CX12" s="62">
        <v>2.4690560286141956</v>
      </c>
      <c r="CY12" s="63">
        <v>91.84</v>
      </c>
      <c r="DA12" s="32">
        <v>3360.7592607526908</v>
      </c>
      <c r="DB12" s="30">
        <v>123.13541764956337</v>
      </c>
      <c r="DD12" s="50">
        <v>1033.0043631097203</v>
      </c>
      <c r="DE12" s="29">
        <f t="shared" si="21"/>
        <v>37.780172373035391</v>
      </c>
      <c r="DF12" s="51">
        <f t="shared" si="11"/>
        <v>0.41136947270291147</v>
      </c>
      <c r="DH12" s="33"/>
      <c r="DI12" s="32"/>
      <c r="DK12" s="50"/>
      <c r="DL12" s="50"/>
      <c r="DN12" s="31"/>
      <c r="DO12" s="31"/>
      <c r="DQ12" s="29"/>
      <c r="DR12" s="29"/>
      <c r="DT12" s="54"/>
      <c r="DU12" s="54"/>
      <c r="DV12" s="51"/>
      <c r="DX12" s="33"/>
      <c r="DY12" s="33"/>
      <c r="DZ12" s="33"/>
      <c r="EA12" s="33"/>
      <c r="EB12" s="33"/>
      <c r="EC12" s="33"/>
      <c r="ED12" s="33"/>
      <c r="EE12" s="32"/>
      <c r="EF12" s="33"/>
      <c r="EG12" s="33"/>
      <c r="EH12" s="33"/>
      <c r="EI12" s="32"/>
      <c r="EJ12" s="33"/>
      <c r="EK12" s="33"/>
      <c r="EL12" s="33"/>
      <c r="EM12" s="33"/>
      <c r="EN12" s="32"/>
      <c r="EO12" s="32"/>
      <c r="EP12" s="70">
        <f t="shared" si="12"/>
        <v>13038.943644999999</v>
      </c>
    </row>
    <row r="13" spans="1:146" x14ac:dyDescent="0.4">
      <c r="A13" s="22">
        <f t="shared" si="13"/>
        <v>2018</v>
      </c>
      <c r="B13" s="37">
        <v>43313</v>
      </c>
      <c r="C13" s="38">
        <f t="shared" si="14"/>
        <v>31</v>
      </c>
      <c r="D13" s="39">
        <v>27.47170967741943</v>
      </c>
      <c r="E13" s="39">
        <v>37.125</v>
      </c>
      <c r="F13" s="39">
        <v>68.06</v>
      </c>
      <c r="G13" s="39">
        <v>72.53</v>
      </c>
      <c r="H13" s="7"/>
      <c r="I13" s="40">
        <v>12.398387096774192</v>
      </c>
      <c r="J13" s="39">
        <v>18.2</v>
      </c>
      <c r="K13" s="39">
        <v>7.5</v>
      </c>
      <c r="L13" s="40">
        <v>12.600000000000001</v>
      </c>
      <c r="M13" s="22"/>
      <c r="N13" s="41">
        <v>5381.9058559999994</v>
      </c>
      <c r="O13" s="41">
        <v>3225.6189119999999</v>
      </c>
      <c r="P13" s="42">
        <f t="shared" si="15"/>
        <v>8607.5247679999993</v>
      </c>
      <c r="Q13" s="41">
        <v>1065.8228249999995</v>
      </c>
      <c r="R13" s="41">
        <v>379.59005900000011</v>
      </c>
      <c r="S13" s="41">
        <v>1668.3674940000005</v>
      </c>
      <c r="T13" s="41"/>
      <c r="U13" s="42">
        <f t="shared" si="16"/>
        <v>3113.7803780000004</v>
      </c>
      <c r="V13" s="42">
        <f t="shared" si="0"/>
        <v>11721.305145999999</v>
      </c>
      <c r="W13" s="39">
        <v>9.1771000000000005E-2</v>
      </c>
      <c r="X13" s="42">
        <f t="shared" si="1"/>
        <v>11721.396916999998</v>
      </c>
      <c r="Z13" s="42">
        <v>23054</v>
      </c>
      <c r="AB13" s="41">
        <v>7725.7293049999998</v>
      </c>
      <c r="AC13" s="41">
        <v>664.84866299999999</v>
      </c>
      <c r="AD13" s="41">
        <v>3697.7419460000001</v>
      </c>
      <c r="AE13" s="41">
        <v>11.42858</v>
      </c>
      <c r="AF13" s="42">
        <f t="shared" si="2"/>
        <v>12099.748493999999</v>
      </c>
      <c r="AH13" s="41">
        <v>3412.0348599999998</v>
      </c>
      <c r="AI13" s="41">
        <v>93.273246</v>
      </c>
      <c r="AJ13" s="41">
        <v>136.78851700000001</v>
      </c>
      <c r="AK13" s="41">
        <v>7.2917649999999998</v>
      </c>
      <c r="AL13" s="41">
        <v>34.785605000000004</v>
      </c>
      <c r="AM13" s="41">
        <v>13.567952999999999</v>
      </c>
      <c r="AN13" s="42">
        <f t="shared" si="17"/>
        <v>285.707086</v>
      </c>
      <c r="AO13" s="43">
        <f t="shared" si="3"/>
        <v>2.4375023296573772E-2</v>
      </c>
      <c r="AQ13" s="40">
        <v>49.708928580645157</v>
      </c>
      <c r="AR13" s="44">
        <f t="shared" si="18"/>
        <v>37.254337815003908</v>
      </c>
      <c r="AS13" s="44">
        <f t="shared" si="18"/>
        <v>12.454590765641253</v>
      </c>
      <c r="AT13" s="40">
        <v>62.839714000000001</v>
      </c>
      <c r="AU13" s="40">
        <v>36.901008999999981</v>
      </c>
      <c r="AV13" s="40">
        <v>90.262891999999994</v>
      </c>
      <c r="AW13" s="40">
        <f t="shared" si="4"/>
        <v>55.16153791712749</v>
      </c>
      <c r="AX13" s="7"/>
      <c r="AY13" s="44">
        <v>33.979820073068424</v>
      </c>
      <c r="AZ13" s="44">
        <v>12.454590765641253</v>
      </c>
      <c r="BA13" s="44">
        <v>3.2745177419354841</v>
      </c>
      <c r="BB13" s="44">
        <v>0</v>
      </c>
      <c r="BC13" s="7"/>
      <c r="BD13" s="38">
        <f t="shared" si="5"/>
        <v>1859.2502929559992</v>
      </c>
      <c r="BE13" s="38">
        <f t="shared" si="6"/>
        <v>1187.1374418024327</v>
      </c>
      <c r="BF13" s="7"/>
      <c r="BG13" s="40">
        <v>4.5747205037101324</v>
      </c>
      <c r="BH13" s="44">
        <v>4.5211492401281905</v>
      </c>
      <c r="BI13" s="44">
        <v>4.7349635809988708</v>
      </c>
      <c r="BJ13" s="38">
        <v>485.26403561090473</v>
      </c>
      <c r="BK13" s="38">
        <v>566.55523519573069</v>
      </c>
      <c r="BL13" s="38">
        <v>148.5483368576192</v>
      </c>
      <c r="BM13" s="40">
        <f t="shared" si="7"/>
        <v>5.1458093109413898</v>
      </c>
      <c r="BN13" s="7"/>
      <c r="BO13" s="39">
        <f t="shared" si="8"/>
        <v>261.09400365390889</v>
      </c>
      <c r="BP13" s="39">
        <f t="shared" si="22"/>
        <v>64.808715531788735</v>
      </c>
      <c r="BQ13" s="40">
        <f t="shared" si="23"/>
        <v>325.90271918569761</v>
      </c>
      <c r="BS13" s="41">
        <v>0</v>
      </c>
      <c r="BT13" s="41">
        <v>0</v>
      </c>
      <c r="BU13" s="41">
        <v>0</v>
      </c>
      <c r="BV13" s="41">
        <v>0</v>
      </c>
      <c r="BW13" s="41">
        <v>9.1771000000000005E-2</v>
      </c>
      <c r="BX13" s="41">
        <v>0</v>
      </c>
      <c r="BY13" s="42">
        <f t="shared" si="9"/>
        <v>9.1771000000000005E-2</v>
      </c>
      <c r="BZ13" s="41">
        <v>0</v>
      </c>
      <c r="CA13" s="41">
        <v>0</v>
      </c>
      <c r="CB13" s="41">
        <v>0</v>
      </c>
      <c r="CC13" s="41">
        <v>0</v>
      </c>
      <c r="CD13" s="41">
        <v>11.42858</v>
      </c>
      <c r="CE13" s="41">
        <v>0</v>
      </c>
      <c r="CF13" s="42">
        <f t="shared" si="19"/>
        <v>11.42858</v>
      </c>
      <c r="CG13" s="7"/>
      <c r="CH13" s="41">
        <v>0</v>
      </c>
      <c r="CI13" s="41">
        <v>0</v>
      </c>
      <c r="CJ13" s="41">
        <v>0</v>
      </c>
      <c r="CK13" s="41">
        <v>0</v>
      </c>
      <c r="CL13" s="41">
        <v>0</v>
      </c>
      <c r="CM13" s="42">
        <f t="shared" si="20"/>
        <v>0</v>
      </c>
      <c r="CN13" s="41">
        <v>0</v>
      </c>
      <c r="CO13" s="41">
        <v>0</v>
      </c>
      <c r="CP13" s="41">
        <v>0</v>
      </c>
      <c r="CQ13" s="41">
        <v>24.794882154882139</v>
      </c>
      <c r="CR13" s="41">
        <v>0</v>
      </c>
      <c r="CS13" s="42">
        <f t="shared" si="10"/>
        <v>24.794882154882142</v>
      </c>
      <c r="CU13" s="64">
        <v>49.942801656468227</v>
      </c>
      <c r="CV13" s="64">
        <v>8.68267355906017</v>
      </c>
      <c r="CW13" s="64">
        <v>2.3744335612645124</v>
      </c>
      <c r="CX13" s="65">
        <v>2.5700912232070845</v>
      </c>
      <c r="CY13" s="66">
        <v>63.569999999999993</v>
      </c>
      <c r="DA13" s="42">
        <v>2568.6086962365603</v>
      </c>
      <c r="DB13" s="40">
        <v>93.477269051187605</v>
      </c>
      <c r="DD13" s="42">
        <v>1456.5998328702824</v>
      </c>
      <c r="DE13" s="39">
        <f t="shared" si="21"/>
        <v>39.235012333206257</v>
      </c>
      <c r="DF13" s="55">
        <f t="shared" si="11"/>
        <v>0.61719383881085832</v>
      </c>
      <c r="DH13" s="39"/>
      <c r="DI13" s="42"/>
      <c r="DK13" s="42"/>
      <c r="DL13" s="42"/>
      <c r="DN13" s="41"/>
      <c r="DO13" s="41"/>
      <c r="DQ13" s="39"/>
      <c r="DR13" s="39"/>
      <c r="DT13" s="56"/>
      <c r="DU13" s="56"/>
      <c r="DV13" s="55"/>
      <c r="DX13" s="39"/>
      <c r="DY13" s="39"/>
      <c r="DZ13" s="39"/>
      <c r="EA13" s="39"/>
      <c r="EB13" s="39"/>
      <c r="EC13" s="39"/>
      <c r="ED13" s="39"/>
      <c r="EE13" s="42"/>
      <c r="EF13" s="39"/>
      <c r="EG13" s="39"/>
      <c r="EH13" s="39"/>
      <c r="EI13" s="42"/>
      <c r="EJ13" s="39"/>
      <c r="EK13" s="39"/>
      <c r="EL13" s="39"/>
      <c r="EM13" s="39"/>
      <c r="EN13" s="42"/>
      <c r="EO13" s="39"/>
      <c r="EP13" s="71">
        <f t="shared" si="12"/>
        <v>12099.748493999999</v>
      </c>
    </row>
    <row r="14" spans="1:146" x14ac:dyDescent="0.4">
      <c r="A14" s="26">
        <f t="shared" si="13"/>
        <v>2018</v>
      </c>
      <c r="B14" s="27">
        <v>43344</v>
      </c>
      <c r="C14" s="28">
        <f t="shared" si="14"/>
        <v>30</v>
      </c>
      <c r="D14" s="29">
        <v>33.701000000000114</v>
      </c>
      <c r="E14" s="29">
        <v>40.896700000000003</v>
      </c>
      <c r="F14" s="29">
        <v>70.23</v>
      </c>
      <c r="G14" s="29">
        <v>78.89</v>
      </c>
      <c r="H14" s="7"/>
      <c r="I14" s="30">
        <v>17.528333333333332</v>
      </c>
      <c r="J14" s="29">
        <v>25.9</v>
      </c>
      <c r="K14" s="29">
        <v>11.4</v>
      </c>
      <c r="L14" s="30">
        <v>14.5</v>
      </c>
      <c r="M14" s="22"/>
      <c r="N14" s="31">
        <v>3928.1622830000015</v>
      </c>
      <c r="O14" s="31">
        <v>2897.4626220000005</v>
      </c>
      <c r="P14" s="32">
        <f t="shared" si="15"/>
        <v>6825.6249050000024</v>
      </c>
      <c r="Q14" s="31">
        <v>1010.5346119999998</v>
      </c>
      <c r="R14" s="31">
        <v>358.76327100000003</v>
      </c>
      <c r="S14" s="31">
        <v>1597.4463290000008</v>
      </c>
      <c r="T14" s="31"/>
      <c r="U14" s="32">
        <f t="shared" si="16"/>
        <v>2966.7442120000005</v>
      </c>
      <c r="V14" s="32">
        <f t="shared" si="0"/>
        <v>9792.369117000002</v>
      </c>
      <c r="W14" s="33">
        <v>143.79875300000003</v>
      </c>
      <c r="X14" s="32">
        <f t="shared" si="1"/>
        <v>9936.1678700000011</v>
      </c>
      <c r="Z14" s="32">
        <v>19664</v>
      </c>
      <c r="AB14" s="34">
        <v>6840.9909310000003</v>
      </c>
      <c r="AC14" s="34">
        <v>311.97040000000004</v>
      </c>
      <c r="AD14" s="34">
        <v>3092.6775419999999</v>
      </c>
      <c r="AE14" s="34">
        <v>21.006610000000002</v>
      </c>
      <c r="AF14" s="32">
        <f t="shared" si="2"/>
        <v>10266.645483</v>
      </c>
      <c r="AH14" s="31">
        <v>2768.4157639999999</v>
      </c>
      <c r="AI14" s="31">
        <v>119.80270000000002</v>
      </c>
      <c r="AJ14" s="31">
        <v>149.08587399999999</v>
      </c>
      <c r="AK14" s="31">
        <v>11.048687000000003</v>
      </c>
      <c r="AL14" s="31">
        <v>31.133040000000001</v>
      </c>
      <c r="AM14" s="31">
        <v>13.191477000000001</v>
      </c>
      <c r="AN14" s="32">
        <f t="shared" si="17"/>
        <v>324.26177800000005</v>
      </c>
      <c r="AO14" s="35">
        <f t="shared" si="3"/>
        <v>3.3113720911221244E-2</v>
      </c>
      <c r="AQ14" s="30">
        <v>49.922355033333304</v>
      </c>
      <c r="AR14" s="36">
        <f t="shared" si="18"/>
        <v>40.589958299067582</v>
      </c>
      <c r="AS14" s="36">
        <f t="shared" si="18"/>
        <v>9.3323967342657212</v>
      </c>
      <c r="AT14" s="30">
        <v>0.15081000000000003</v>
      </c>
      <c r="AU14" s="30">
        <v>11.909461000000004</v>
      </c>
      <c r="AV14" s="30">
        <v>19.368997</v>
      </c>
      <c r="AW14" s="30">
        <f t="shared" si="4"/>
        <v>50.748758593571402</v>
      </c>
      <c r="AX14" s="7"/>
      <c r="AY14" s="36">
        <v>36.983816632400917</v>
      </c>
      <c r="AZ14" s="36">
        <v>9.3323967342657212</v>
      </c>
      <c r="BA14" s="36">
        <v>3.6061416666666668</v>
      </c>
      <c r="BB14" s="36">
        <v>0</v>
      </c>
      <c r="BC14" s="7"/>
      <c r="BD14" s="32">
        <f t="shared" si="5"/>
        <v>1869.4202776425216</v>
      </c>
      <c r="BE14" s="32">
        <f t="shared" si="6"/>
        <v>1245.6539175094836</v>
      </c>
      <c r="BF14" s="7"/>
      <c r="BG14" s="30">
        <v>3.964869277189202</v>
      </c>
      <c r="BH14" s="36">
        <v>3.8234521811451523</v>
      </c>
      <c r="BI14" s="36">
        <v>4.5799432174265773</v>
      </c>
      <c r="BJ14" s="28">
        <v>485.26403561090461</v>
      </c>
      <c r="BK14" s="28">
        <v>566.54009908488149</v>
      </c>
      <c r="BL14" s="28">
        <v>131.59388279233647</v>
      </c>
      <c r="BM14" s="30">
        <f t="shared" si="7"/>
        <v>4.0664620712010011</v>
      </c>
      <c r="BN14" s="7"/>
      <c r="BO14" s="29">
        <f t="shared" si="8"/>
        <v>219.92845746288327</v>
      </c>
      <c r="BP14" s="29">
        <f t="shared" si="22"/>
        <v>9.369211405221133</v>
      </c>
      <c r="BQ14" s="30">
        <f t="shared" si="23"/>
        <v>229.29766886810441</v>
      </c>
      <c r="BS14" s="31">
        <v>143.798753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2">
        <f t="shared" si="9"/>
        <v>143.798753</v>
      </c>
      <c r="BZ14" s="31">
        <v>0</v>
      </c>
      <c r="CA14" s="31">
        <v>0</v>
      </c>
      <c r="CB14" s="31">
        <v>0</v>
      </c>
      <c r="CC14" s="31">
        <v>0</v>
      </c>
      <c r="CD14" s="31">
        <v>21.006610000000002</v>
      </c>
      <c r="CE14" s="31">
        <v>0</v>
      </c>
      <c r="CF14" s="32">
        <f t="shared" si="19"/>
        <v>21.006610000000002</v>
      </c>
      <c r="CG14" s="7"/>
      <c r="CH14" s="31">
        <v>85</v>
      </c>
      <c r="CI14" s="31">
        <v>0</v>
      </c>
      <c r="CJ14" s="31">
        <v>0</v>
      </c>
      <c r="CK14" s="31">
        <v>0</v>
      </c>
      <c r="CL14" s="31">
        <v>0</v>
      </c>
      <c r="CM14" s="32">
        <f t="shared" si="20"/>
        <v>85</v>
      </c>
      <c r="CN14" s="31">
        <v>0</v>
      </c>
      <c r="CO14" s="31">
        <v>0</v>
      </c>
      <c r="CP14" s="31">
        <v>0</v>
      </c>
      <c r="CQ14" s="31">
        <v>24.231050427051571</v>
      </c>
      <c r="CR14" s="31">
        <v>0</v>
      </c>
      <c r="CS14" s="32">
        <f t="shared" si="10"/>
        <v>24.231050427051571</v>
      </c>
      <c r="CU14" s="61">
        <v>55.535633132476605</v>
      </c>
      <c r="CV14" s="61">
        <v>11.273708775326128</v>
      </c>
      <c r="CW14" s="61">
        <v>2.164882718674686</v>
      </c>
      <c r="CX14" s="62">
        <v>2.4557753735226053</v>
      </c>
      <c r="CY14" s="63">
        <v>71.430000000000021</v>
      </c>
      <c r="DA14" s="32">
        <v>1768.6895833333347</v>
      </c>
      <c r="DB14" s="30">
        <v>53.168335593286194</v>
      </c>
      <c r="DD14" s="50">
        <v>1465.6976694617704</v>
      </c>
      <c r="DE14" s="29">
        <f t="shared" si="21"/>
        <v>35.839020494606416</v>
      </c>
      <c r="DF14" s="51">
        <f t="shared" si="11"/>
        <v>0.50173625219944573</v>
      </c>
      <c r="DH14" s="33"/>
      <c r="DI14" s="32"/>
      <c r="DK14" s="50"/>
      <c r="DL14" s="50"/>
      <c r="DN14" s="31"/>
      <c r="DO14" s="31"/>
      <c r="DQ14" s="29"/>
      <c r="DR14" s="29"/>
      <c r="DT14" s="54"/>
      <c r="DU14" s="54"/>
      <c r="DV14" s="51"/>
      <c r="DX14" s="33"/>
      <c r="DY14" s="33"/>
      <c r="DZ14" s="33"/>
      <c r="EA14" s="33"/>
      <c r="EB14" s="33"/>
      <c r="EC14" s="33"/>
      <c r="ED14" s="33"/>
      <c r="EE14" s="32"/>
      <c r="EF14" s="33"/>
      <c r="EG14" s="33"/>
      <c r="EH14" s="33"/>
      <c r="EI14" s="32"/>
      <c r="EJ14" s="33"/>
      <c r="EK14" s="33"/>
      <c r="EL14" s="33"/>
      <c r="EM14" s="33"/>
      <c r="EN14" s="32"/>
      <c r="EO14" s="32"/>
      <c r="EP14" s="70">
        <f t="shared" si="12"/>
        <v>10266.645483</v>
      </c>
    </row>
    <row r="15" spans="1:146" x14ac:dyDescent="0.4">
      <c r="A15" s="22">
        <f t="shared" si="13"/>
        <v>2018</v>
      </c>
      <c r="B15" s="37">
        <v>43374</v>
      </c>
      <c r="C15" s="38">
        <f t="shared" si="14"/>
        <v>31</v>
      </c>
      <c r="D15" s="39">
        <v>37.3251935483868</v>
      </c>
      <c r="E15" s="39">
        <v>36.1967</v>
      </c>
      <c r="F15" s="39">
        <v>70.75</v>
      </c>
      <c r="G15" s="39">
        <v>81.03</v>
      </c>
      <c r="H15" s="7"/>
      <c r="I15" s="40">
        <v>17.795161290322579</v>
      </c>
      <c r="J15" s="39">
        <v>24.3</v>
      </c>
      <c r="K15" s="39">
        <v>11.65</v>
      </c>
      <c r="L15" s="40">
        <v>17.3</v>
      </c>
      <c r="M15" s="22"/>
      <c r="N15" s="41">
        <v>3944.5947029999984</v>
      </c>
      <c r="O15" s="41">
        <v>2938.3544769999994</v>
      </c>
      <c r="P15" s="42">
        <f t="shared" si="15"/>
        <v>6882.9491799999978</v>
      </c>
      <c r="Q15" s="41">
        <v>1040.5356229999998</v>
      </c>
      <c r="R15" s="41">
        <v>364.32137799999992</v>
      </c>
      <c r="S15" s="41">
        <v>1616.4125100000003</v>
      </c>
      <c r="T15" s="41"/>
      <c r="U15" s="42">
        <f t="shared" si="16"/>
        <v>3021.269511</v>
      </c>
      <c r="V15" s="42">
        <f t="shared" si="0"/>
        <v>9904.2186909999982</v>
      </c>
      <c r="W15" s="39">
        <v>123.10334399999999</v>
      </c>
      <c r="X15" s="42">
        <f t="shared" si="1"/>
        <v>10027.322034999997</v>
      </c>
      <c r="Z15" s="42">
        <v>18952</v>
      </c>
      <c r="AB15" s="41">
        <v>6137.657725</v>
      </c>
      <c r="AC15" s="41">
        <v>395.77338299999997</v>
      </c>
      <c r="AD15" s="41">
        <v>3835.630228</v>
      </c>
      <c r="AE15" s="41">
        <v>24.815047</v>
      </c>
      <c r="AF15" s="42">
        <f t="shared" si="2"/>
        <v>10393.876382999999</v>
      </c>
      <c r="AH15" s="41">
        <v>3456.3542980000002</v>
      </c>
      <c r="AI15" s="41">
        <v>138.61926400000004</v>
      </c>
      <c r="AJ15" s="41">
        <v>187.95762400000004</v>
      </c>
      <c r="AK15" s="41">
        <v>14.302871000000003</v>
      </c>
      <c r="AL15" s="41">
        <v>23.546473000000002</v>
      </c>
      <c r="AM15" s="41">
        <v>14.849698</v>
      </c>
      <c r="AN15" s="42">
        <f t="shared" si="17"/>
        <v>379.27593000000002</v>
      </c>
      <c r="AO15" s="43">
        <f t="shared" si="3"/>
        <v>3.8294381599696455E-2</v>
      </c>
      <c r="AQ15" s="40">
        <v>43.300355935483871</v>
      </c>
      <c r="AR15" s="44">
        <f t="shared" si="18"/>
        <v>35.301287150866919</v>
      </c>
      <c r="AS15" s="44">
        <f t="shared" si="18"/>
        <v>7.9990687846169548</v>
      </c>
      <c r="AT15" s="40">
        <v>1.1350000000000001E-2</v>
      </c>
      <c r="AU15" s="40">
        <v>8.4691269999999967</v>
      </c>
      <c r="AV15" s="40">
        <v>15.868696</v>
      </c>
      <c r="AW15" s="40">
        <f t="shared" si="4"/>
        <v>43.908909307450074</v>
      </c>
      <c r="AX15" s="7"/>
      <c r="AY15" s="44">
        <v>31.512616828286273</v>
      </c>
      <c r="AZ15" s="44">
        <v>7.9990687846169548</v>
      </c>
      <c r="BA15" s="44">
        <v>3.7886703225806451</v>
      </c>
      <c r="BB15" s="44">
        <v>0</v>
      </c>
      <c r="BC15" s="7"/>
      <c r="BD15" s="38">
        <f t="shared" si="5"/>
        <v>1862.906094793678</v>
      </c>
      <c r="BE15" s="38">
        <f t="shared" si="6"/>
        <v>1100.0592620440443</v>
      </c>
      <c r="BF15" s="7"/>
      <c r="BG15" s="40">
        <v>4.5290217757213096</v>
      </c>
      <c r="BH15" s="44">
        <v>3.7977079733170074</v>
      </c>
      <c r="BI15" s="44">
        <v>7.7564372700991182</v>
      </c>
      <c r="BJ15" s="38">
        <v>485.26403561090461</v>
      </c>
      <c r="BK15" s="38">
        <v>566.54009908488149</v>
      </c>
      <c r="BL15" s="38">
        <v>134.00927519712985</v>
      </c>
      <c r="BM15" s="40">
        <f t="shared" si="7"/>
        <v>4.603717198563019</v>
      </c>
      <c r="BN15" s="7"/>
      <c r="BO15" s="39">
        <f t="shared" si="8"/>
        <v>225.16132973248102</v>
      </c>
      <c r="BP15" s="39">
        <f t="shared" si="22"/>
        <v>6.9301602458302201</v>
      </c>
      <c r="BQ15" s="40">
        <f t="shared" si="23"/>
        <v>232.09148997831124</v>
      </c>
      <c r="BS15" s="41">
        <v>123.10334400000001</v>
      </c>
      <c r="BT15" s="41">
        <v>0</v>
      </c>
      <c r="BU15" s="41">
        <v>0</v>
      </c>
      <c r="BV15" s="41">
        <v>0</v>
      </c>
      <c r="BW15" s="41">
        <v>0</v>
      </c>
      <c r="BX15" s="41">
        <v>0</v>
      </c>
      <c r="BY15" s="42">
        <f t="shared" si="9"/>
        <v>123.10334400000001</v>
      </c>
      <c r="BZ15" s="41">
        <v>0</v>
      </c>
      <c r="CA15" s="41">
        <v>0</v>
      </c>
      <c r="CB15" s="41">
        <v>0</v>
      </c>
      <c r="CC15" s="41">
        <v>6.907108</v>
      </c>
      <c r="CD15" s="41">
        <v>17.907938999999999</v>
      </c>
      <c r="CE15" s="41">
        <v>0</v>
      </c>
      <c r="CF15" s="42">
        <f t="shared" si="19"/>
        <v>24.815047</v>
      </c>
      <c r="CG15" s="7"/>
      <c r="CH15" s="41">
        <v>82</v>
      </c>
      <c r="CI15" s="41">
        <v>0</v>
      </c>
      <c r="CJ15" s="41">
        <v>0</v>
      </c>
      <c r="CK15" s="41">
        <v>0</v>
      </c>
      <c r="CL15" s="41">
        <v>0</v>
      </c>
      <c r="CM15" s="42">
        <f t="shared" si="20"/>
        <v>82.000000000000014</v>
      </c>
      <c r="CN15" s="41">
        <v>0</v>
      </c>
      <c r="CO15" s="41">
        <v>0</v>
      </c>
      <c r="CP15" s="41">
        <v>0</v>
      </c>
      <c r="CQ15" s="41">
        <v>27.377357604422503</v>
      </c>
      <c r="CR15" s="41">
        <v>0</v>
      </c>
      <c r="CS15" s="42">
        <f t="shared" si="10"/>
        <v>19.757047003021363</v>
      </c>
      <c r="CU15" s="64">
        <v>58.543371186160172</v>
      </c>
      <c r="CV15" s="64">
        <v>11.416250966449052</v>
      </c>
      <c r="CW15" s="64">
        <v>2.3854179765604835</v>
      </c>
      <c r="CX15" s="65">
        <v>2.8149598708302901</v>
      </c>
      <c r="CY15" s="66">
        <v>75.160000000000011</v>
      </c>
      <c r="DA15" s="42">
        <v>1669.0641263440898</v>
      </c>
      <c r="DB15" s="40">
        <v>44.716998657629773</v>
      </c>
      <c r="DD15" s="42">
        <v>1468.3217732475737</v>
      </c>
      <c r="DE15" s="39">
        <f t="shared" si="21"/>
        <v>40.565072872598158</v>
      </c>
      <c r="DF15" s="55">
        <f t="shared" si="11"/>
        <v>0.5397162436481926</v>
      </c>
      <c r="DH15" s="39"/>
      <c r="DI15" s="42"/>
      <c r="DK15" s="42"/>
      <c r="DL15" s="42"/>
      <c r="DN15" s="41"/>
      <c r="DO15" s="41"/>
      <c r="DQ15" s="39"/>
      <c r="DR15" s="39"/>
      <c r="DT15" s="56"/>
      <c r="DU15" s="56"/>
      <c r="DV15" s="55"/>
      <c r="DX15" s="39"/>
      <c r="DY15" s="39"/>
      <c r="DZ15" s="39"/>
      <c r="EA15" s="39"/>
      <c r="EB15" s="39"/>
      <c r="EC15" s="39"/>
      <c r="ED15" s="39"/>
      <c r="EE15" s="42"/>
      <c r="EF15" s="39"/>
      <c r="EG15" s="39"/>
      <c r="EH15" s="39"/>
      <c r="EI15" s="42"/>
      <c r="EJ15" s="39"/>
      <c r="EK15" s="39"/>
      <c r="EL15" s="39"/>
      <c r="EM15" s="39"/>
      <c r="EN15" s="42"/>
      <c r="EO15" s="39"/>
      <c r="EP15" s="71">
        <f t="shared" si="12"/>
        <v>10393.876382999999</v>
      </c>
    </row>
    <row r="16" spans="1:146" x14ac:dyDescent="0.4">
      <c r="A16" s="26">
        <f t="shared" si="13"/>
        <v>2018</v>
      </c>
      <c r="B16" s="27">
        <v>43405</v>
      </c>
      <c r="C16" s="28">
        <f t="shared" si="14"/>
        <v>30</v>
      </c>
      <c r="D16" s="29">
        <v>35.866633333333951</v>
      </c>
      <c r="E16" s="29">
        <v>38.021700000000003</v>
      </c>
      <c r="F16" s="29">
        <v>56.96</v>
      </c>
      <c r="G16" s="29">
        <v>64.75</v>
      </c>
      <c r="H16" s="7"/>
      <c r="I16" s="30">
        <v>21.44</v>
      </c>
      <c r="J16" s="29">
        <v>27.95</v>
      </c>
      <c r="K16" s="29">
        <v>14.15</v>
      </c>
      <c r="L16" s="30">
        <v>20.3</v>
      </c>
      <c r="M16" s="22"/>
      <c r="N16" s="31">
        <v>4001.5810480000005</v>
      </c>
      <c r="O16" s="31">
        <v>2965.9042750000003</v>
      </c>
      <c r="P16" s="32">
        <f t="shared" si="15"/>
        <v>6967.4853230000008</v>
      </c>
      <c r="Q16" s="31">
        <v>1075.1681110000006</v>
      </c>
      <c r="R16" s="31">
        <v>379.30037800000002</v>
      </c>
      <c r="S16" s="31">
        <v>1613.1955869999993</v>
      </c>
      <c r="T16" s="31"/>
      <c r="U16" s="32">
        <f t="shared" si="16"/>
        <v>3067.664076</v>
      </c>
      <c r="V16" s="32">
        <f t="shared" si="0"/>
        <v>10035.149399000002</v>
      </c>
      <c r="W16" s="33">
        <v>7.9299999999999995E-3</v>
      </c>
      <c r="X16" s="32">
        <f t="shared" si="1"/>
        <v>10035.157329000001</v>
      </c>
      <c r="Z16" s="32">
        <v>21335</v>
      </c>
      <c r="AB16" s="34">
        <v>5692.2805369999996</v>
      </c>
      <c r="AC16" s="34">
        <v>376.47934299999997</v>
      </c>
      <c r="AD16" s="34">
        <v>4319.5296429999999</v>
      </c>
      <c r="AE16" s="34">
        <v>30.330112</v>
      </c>
      <c r="AF16" s="32">
        <f t="shared" si="2"/>
        <v>10418.619634999999</v>
      </c>
      <c r="AH16" s="31">
        <v>3891.0484309999997</v>
      </c>
      <c r="AI16" s="31">
        <v>142.84836500000003</v>
      </c>
      <c r="AJ16" s="31">
        <v>224.80336100000005</v>
      </c>
      <c r="AK16" s="31">
        <v>23.960569999999993</v>
      </c>
      <c r="AL16" s="31">
        <v>22.653907999999998</v>
      </c>
      <c r="AM16" s="31">
        <v>14.215008000000001</v>
      </c>
      <c r="AN16" s="32">
        <f t="shared" si="17"/>
        <v>428.48121200000008</v>
      </c>
      <c r="AO16" s="35">
        <f t="shared" si="3"/>
        <v>4.2698040155007361E-2</v>
      </c>
      <c r="AQ16" s="30">
        <v>41.269908099999995</v>
      </c>
      <c r="AR16" s="36">
        <f t="shared" si="18"/>
        <v>35.053647053090735</v>
      </c>
      <c r="AS16" s="36">
        <f t="shared" si="18"/>
        <v>6.2162610469092598</v>
      </c>
      <c r="AT16" s="30">
        <v>6.385600000000001E-2</v>
      </c>
      <c r="AU16" s="30">
        <v>10.568069999999999</v>
      </c>
      <c r="AV16" s="30">
        <v>0</v>
      </c>
      <c r="AW16" s="30">
        <f t="shared" si="4"/>
        <v>41.632209010317453</v>
      </c>
      <c r="AX16" s="7"/>
      <c r="AY16" s="36">
        <v>26.675667386424067</v>
      </c>
      <c r="AZ16" s="36">
        <v>6.2162610469092598</v>
      </c>
      <c r="BA16" s="36">
        <v>8.3779796666666666</v>
      </c>
      <c r="BB16" s="36">
        <v>0</v>
      </c>
      <c r="BC16" s="7"/>
      <c r="BD16" s="32">
        <f t="shared" si="5"/>
        <v>1843.0779372882478</v>
      </c>
      <c r="BE16" s="32">
        <f t="shared" si="6"/>
        <v>1006.9776072211893</v>
      </c>
      <c r="BF16" s="7"/>
      <c r="BG16" s="30">
        <v>4.3470004663845287</v>
      </c>
      <c r="BH16" s="36">
        <v>3.7962103220346717</v>
      </c>
      <c r="BI16" s="36">
        <v>7.4529194705358055</v>
      </c>
      <c r="BJ16" s="28">
        <v>485.26403561090456</v>
      </c>
      <c r="BK16" s="28">
        <v>566.54009908488138</v>
      </c>
      <c r="BL16" s="28">
        <v>134.00927519712985</v>
      </c>
      <c r="BM16" s="30">
        <f t="shared" si="7"/>
        <v>4.4392722450355491</v>
      </c>
      <c r="BN16" s="7"/>
      <c r="BO16" s="29">
        <f t="shared" si="8"/>
        <v>199.33367750927405</v>
      </c>
      <c r="BP16" s="29">
        <f t="shared" si="22"/>
        <v>6.0182224451939312</v>
      </c>
      <c r="BQ16" s="30">
        <f t="shared" si="23"/>
        <v>205.351899954468</v>
      </c>
      <c r="BS16" s="31">
        <v>0</v>
      </c>
      <c r="BT16" s="31">
        <v>0</v>
      </c>
      <c r="BU16" s="31">
        <v>0</v>
      </c>
      <c r="BV16" s="31">
        <v>7.9299999999999995E-3</v>
      </c>
      <c r="BW16" s="31">
        <v>0</v>
      </c>
      <c r="BX16" s="31">
        <v>0</v>
      </c>
      <c r="BY16" s="32">
        <f t="shared" si="9"/>
        <v>7.9299999999999995E-3</v>
      </c>
      <c r="BZ16" s="31">
        <v>0</v>
      </c>
      <c r="CA16" s="31">
        <v>0</v>
      </c>
      <c r="CB16" s="31">
        <v>0</v>
      </c>
      <c r="CC16" s="31">
        <v>6.6125220000000002</v>
      </c>
      <c r="CD16" s="31">
        <v>23.717590000000001</v>
      </c>
      <c r="CE16" s="31">
        <v>0</v>
      </c>
      <c r="CF16" s="32">
        <f t="shared" si="19"/>
        <v>30.330112</v>
      </c>
      <c r="CG16" s="7"/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2">
        <f t="shared" si="20"/>
        <v>0</v>
      </c>
      <c r="CN16" s="31">
        <v>0</v>
      </c>
      <c r="CO16" s="31">
        <v>0</v>
      </c>
      <c r="CP16" s="31">
        <v>108.0883869972992</v>
      </c>
      <c r="CQ16" s="31">
        <v>24.601834781913151</v>
      </c>
      <c r="CR16" s="31">
        <v>0</v>
      </c>
      <c r="CS16" s="32">
        <f t="shared" si="10"/>
        <v>42.803437968488566</v>
      </c>
      <c r="CU16" s="61">
        <v>53.510037006639827</v>
      </c>
      <c r="CV16" s="61">
        <v>10.200887074092725</v>
      </c>
      <c r="CW16" s="61">
        <v>2.350668971485832</v>
      </c>
      <c r="CX16" s="62">
        <v>2.7484069477816004</v>
      </c>
      <c r="CY16" s="63">
        <v>68.809999999999988</v>
      </c>
      <c r="DA16" s="32">
        <v>1579.0471805555542</v>
      </c>
      <c r="DB16" s="30">
        <v>44.035518281632612</v>
      </c>
      <c r="DD16" s="50">
        <v>1478.7974452806875</v>
      </c>
      <c r="DE16" s="29">
        <f t="shared" si="21"/>
        <v>38.893512001848613</v>
      </c>
      <c r="DF16" s="51">
        <f t="shared" si="11"/>
        <v>0.56523051884680453</v>
      </c>
      <c r="DH16" s="33"/>
      <c r="DI16" s="32"/>
      <c r="DK16" s="50"/>
      <c r="DL16" s="50"/>
      <c r="DN16" s="31"/>
      <c r="DO16" s="31"/>
      <c r="DQ16" s="29"/>
      <c r="DR16" s="29"/>
      <c r="DT16" s="54"/>
      <c r="DU16" s="54"/>
      <c r="DV16" s="51"/>
      <c r="DX16" s="33"/>
      <c r="DY16" s="33"/>
      <c r="DZ16" s="33"/>
      <c r="EA16" s="33"/>
      <c r="EB16" s="33"/>
      <c r="EC16" s="33"/>
      <c r="ED16" s="33"/>
      <c r="EE16" s="32"/>
      <c r="EF16" s="33"/>
      <c r="EG16" s="33"/>
      <c r="EH16" s="33"/>
      <c r="EI16" s="32"/>
      <c r="EJ16" s="33"/>
      <c r="EK16" s="33"/>
      <c r="EL16" s="33"/>
      <c r="EM16" s="33"/>
      <c r="EN16" s="32"/>
      <c r="EO16" s="32"/>
      <c r="EP16" s="70">
        <f t="shared" si="12"/>
        <v>10418.619634999999</v>
      </c>
    </row>
    <row r="17" spans="1:146" x14ac:dyDescent="0.4">
      <c r="A17" s="22">
        <f t="shared" si="13"/>
        <v>2018</v>
      </c>
      <c r="B17" s="37">
        <v>43435</v>
      </c>
      <c r="C17" s="38">
        <f t="shared" si="14"/>
        <v>31</v>
      </c>
      <c r="D17" s="39">
        <v>37.77948387096724</v>
      </c>
      <c r="E17" s="39">
        <v>37.808300000000003</v>
      </c>
      <c r="F17" s="39">
        <v>49.52</v>
      </c>
      <c r="G17" s="39">
        <v>57.36</v>
      </c>
      <c r="H17" s="7"/>
      <c r="I17" s="40">
        <v>22.440322580645152</v>
      </c>
      <c r="J17" s="39">
        <v>29.25</v>
      </c>
      <c r="K17" s="39">
        <v>15.05</v>
      </c>
      <c r="L17" s="40">
        <v>23.1</v>
      </c>
      <c r="M17" s="22"/>
      <c r="N17" s="41">
        <v>4687.8993709999977</v>
      </c>
      <c r="O17" s="41">
        <v>3223.0030150000002</v>
      </c>
      <c r="P17" s="42">
        <f t="shared" si="15"/>
        <v>7910.9023859999979</v>
      </c>
      <c r="Q17" s="41">
        <v>1082.4372140000005</v>
      </c>
      <c r="R17" s="41">
        <v>363.43585200000007</v>
      </c>
      <c r="S17" s="41">
        <v>1506.2371090000004</v>
      </c>
      <c r="T17" s="41"/>
      <c r="U17" s="42">
        <f t="shared" si="16"/>
        <v>2952.1101750000007</v>
      </c>
      <c r="V17" s="42">
        <f t="shared" si="0"/>
        <v>10863.012561</v>
      </c>
      <c r="W17" s="39">
        <v>1.0970000000000001E-2</v>
      </c>
      <c r="X17" s="42">
        <f t="shared" si="1"/>
        <v>10863.023530999999</v>
      </c>
      <c r="Z17" s="42">
        <v>23438</v>
      </c>
      <c r="AB17" s="41">
        <v>6609.3204019999994</v>
      </c>
      <c r="AC17" s="41">
        <v>212.640435</v>
      </c>
      <c r="AD17" s="41">
        <v>4257.3084240000007</v>
      </c>
      <c r="AE17" s="41">
        <v>191.30345399999999</v>
      </c>
      <c r="AF17" s="42">
        <f t="shared" si="2"/>
        <v>11270.572715000002</v>
      </c>
      <c r="AH17" s="41">
        <v>3769.4223619999998</v>
      </c>
      <c r="AI17" s="41">
        <v>160.66620300000002</v>
      </c>
      <c r="AJ17" s="41">
        <v>258.131981</v>
      </c>
      <c r="AK17" s="41">
        <v>39.006725000000003</v>
      </c>
      <c r="AL17" s="41">
        <v>15.311586</v>
      </c>
      <c r="AM17" s="41">
        <v>14.769567000000002</v>
      </c>
      <c r="AN17" s="42">
        <f t="shared" si="17"/>
        <v>487.88606199999998</v>
      </c>
      <c r="AO17" s="43">
        <f t="shared" si="3"/>
        <v>4.4912593008645793E-2</v>
      </c>
      <c r="AQ17" s="40">
        <v>46.56427141935486</v>
      </c>
      <c r="AR17" s="44">
        <f t="shared" si="18"/>
        <v>40.667055219335211</v>
      </c>
      <c r="AS17" s="44">
        <f t="shared" si="18"/>
        <v>5.8972162000196517</v>
      </c>
      <c r="AT17" s="40">
        <v>6.1547999999999999E-2</v>
      </c>
      <c r="AU17" s="40">
        <v>19.652035999999995</v>
      </c>
      <c r="AV17" s="40">
        <v>0</v>
      </c>
      <c r="AW17" s="40">
        <f t="shared" si="4"/>
        <v>47.214108743778823</v>
      </c>
      <c r="AX17" s="7"/>
      <c r="AY17" s="44">
        <v>14.214040703206177</v>
      </c>
      <c r="AZ17" s="44">
        <v>5.8972162000196517</v>
      </c>
      <c r="BA17" s="44">
        <v>26.453014516129034</v>
      </c>
      <c r="BB17" s="44">
        <v>0</v>
      </c>
      <c r="BC17" s="7"/>
      <c r="BD17" s="38">
        <f t="shared" si="5"/>
        <v>1860.1842805441295</v>
      </c>
      <c r="BE17" s="38">
        <f t="shared" si="6"/>
        <v>1090.8544071160809</v>
      </c>
      <c r="BF17" s="7"/>
      <c r="BG17" s="40">
        <v>4.185956036687319</v>
      </c>
      <c r="BH17" s="44">
        <v>3.7122067197742585</v>
      </c>
      <c r="BI17" s="44">
        <v>7.4529194610504215</v>
      </c>
      <c r="BJ17" s="38">
        <v>485.26403561090456</v>
      </c>
      <c r="BK17" s="38">
        <v>566.54009908488149</v>
      </c>
      <c r="BL17" s="38">
        <v>134.00927519712985</v>
      </c>
      <c r="BM17" s="40">
        <f t="shared" si="7"/>
        <v>4.33427795230374</v>
      </c>
      <c r="BN17" s="7"/>
      <c r="BO17" s="39">
        <f t="shared" si="8"/>
        <v>223.79243645539458</v>
      </c>
      <c r="BP17" s="39">
        <f t="shared" si="22"/>
        <v>11.163533453523435</v>
      </c>
      <c r="BQ17" s="40">
        <f t="shared" si="23"/>
        <v>234.95596990891801</v>
      </c>
      <c r="BS17" s="41">
        <v>0</v>
      </c>
      <c r="BT17" s="41">
        <v>0</v>
      </c>
      <c r="BU17" s="41">
        <v>0</v>
      </c>
      <c r="BV17" s="41">
        <v>1.8780000000000001E-3</v>
      </c>
      <c r="BW17" s="41">
        <v>0</v>
      </c>
      <c r="BX17" s="41">
        <v>0</v>
      </c>
      <c r="BY17" s="42">
        <f t="shared" si="9"/>
        <v>1.8780000000000001E-3</v>
      </c>
      <c r="BZ17" s="41">
        <v>0</v>
      </c>
      <c r="CA17" s="41">
        <v>0</v>
      </c>
      <c r="CB17" s="41">
        <v>0</v>
      </c>
      <c r="CC17" s="41">
        <v>11.267574</v>
      </c>
      <c r="CD17" s="41">
        <v>180.03587999999999</v>
      </c>
      <c r="CE17" s="41">
        <v>0</v>
      </c>
      <c r="CF17" s="42">
        <f t="shared" si="19"/>
        <v>191.30345399999999</v>
      </c>
      <c r="CG17" s="7"/>
      <c r="CH17" s="41">
        <v>0</v>
      </c>
      <c r="CI17" s="41">
        <v>0</v>
      </c>
      <c r="CJ17" s="41">
        <v>0</v>
      </c>
      <c r="CK17" s="41">
        <v>0</v>
      </c>
      <c r="CL17" s="41">
        <v>0</v>
      </c>
      <c r="CM17" s="42">
        <f t="shared" si="20"/>
        <v>0</v>
      </c>
      <c r="CN17" s="41">
        <v>0</v>
      </c>
      <c r="CO17" s="41">
        <v>0</v>
      </c>
      <c r="CP17" s="41">
        <v>120.00010579687554</v>
      </c>
      <c r="CQ17" s="41">
        <v>20.150835932124245</v>
      </c>
      <c r="CR17" s="41">
        <v>0</v>
      </c>
      <c r="CS17" s="42">
        <f t="shared" si="10"/>
        <v>26.031853830771574</v>
      </c>
      <c r="CU17" s="64">
        <v>52.913911755402523</v>
      </c>
      <c r="CV17" s="64">
        <v>10.683218665800984</v>
      </c>
      <c r="CW17" s="64">
        <v>2.4843559891158549</v>
      </c>
      <c r="CX17" s="65">
        <v>2.7285135896806434</v>
      </c>
      <c r="CY17" s="66">
        <v>68.810000000000016</v>
      </c>
      <c r="DA17" s="42">
        <v>1582.5014516129074</v>
      </c>
      <c r="DB17" s="40">
        <v>41.878083103116296</v>
      </c>
      <c r="DD17" s="42">
        <v>1466.383945741695</v>
      </c>
      <c r="DE17" s="39">
        <f t="shared" si="21"/>
        <v>38.784709858462158</v>
      </c>
      <c r="DF17" s="55">
        <f t="shared" si="11"/>
        <v>0.56364932216919272</v>
      </c>
      <c r="DH17" s="39"/>
      <c r="DI17" s="42"/>
      <c r="DK17" s="42"/>
      <c r="DL17" s="42"/>
      <c r="DN17" s="41"/>
      <c r="DO17" s="41"/>
      <c r="DQ17" s="39"/>
      <c r="DR17" s="39"/>
      <c r="DT17" s="56"/>
      <c r="DU17" s="56"/>
      <c r="DV17" s="55"/>
      <c r="DX17" s="39"/>
      <c r="DY17" s="39"/>
      <c r="DZ17" s="39"/>
      <c r="EA17" s="39"/>
      <c r="EB17" s="39"/>
      <c r="EC17" s="39"/>
      <c r="ED17" s="39"/>
      <c r="EE17" s="42"/>
      <c r="EF17" s="39"/>
      <c r="EG17" s="39"/>
      <c r="EH17" s="39"/>
      <c r="EI17" s="42"/>
      <c r="EJ17" s="39"/>
      <c r="EK17" s="39"/>
      <c r="EL17" s="39"/>
      <c r="EM17" s="39"/>
      <c r="EN17" s="42"/>
      <c r="EO17" s="39"/>
      <c r="EP17" s="71">
        <f t="shared" si="12"/>
        <v>11270.572715000002</v>
      </c>
    </row>
    <row r="18" spans="1:146" x14ac:dyDescent="0.4">
      <c r="A18" s="26">
        <f t="shared" si="13"/>
        <v>2019</v>
      </c>
      <c r="B18" s="27">
        <v>43466</v>
      </c>
      <c r="C18" s="28">
        <f t="shared" si="14"/>
        <v>31</v>
      </c>
      <c r="D18" s="29">
        <v>37.656580645161256</v>
      </c>
      <c r="E18" s="29">
        <v>37.034999999999997</v>
      </c>
      <c r="F18" s="29">
        <v>51.38</v>
      </c>
      <c r="G18" s="29">
        <v>59.41</v>
      </c>
      <c r="H18" s="7"/>
      <c r="I18" s="30">
        <v>24.974193548387099</v>
      </c>
      <c r="J18" s="29">
        <v>31.3</v>
      </c>
      <c r="K18" s="29">
        <v>18.45</v>
      </c>
      <c r="L18" s="30">
        <v>24.5</v>
      </c>
      <c r="M18" s="22"/>
      <c r="N18" s="31">
        <v>5280.2574090000007</v>
      </c>
      <c r="O18" s="31">
        <v>3397.455946</v>
      </c>
      <c r="P18" s="32">
        <f t="shared" si="15"/>
        <v>8677.7133549999999</v>
      </c>
      <c r="Q18" s="31">
        <v>1109.8613190000001</v>
      </c>
      <c r="R18" s="31">
        <v>378.86607100000009</v>
      </c>
      <c r="S18" s="31">
        <v>1532.3796570000015</v>
      </c>
      <c r="T18" s="31"/>
      <c r="U18" s="32">
        <f t="shared" si="16"/>
        <v>3021.1070470000018</v>
      </c>
      <c r="V18" s="32">
        <f t="shared" si="0"/>
        <v>11698.820402000001</v>
      </c>
      <c r="W18" s="33">
        <v>12.307694999999999</v>
      </c>
      <c r="X18" s="32">
        <f t="shared" si="1"/>
        <v>11711.128097000001</v>
      </c>
      <c r="Z18" s="32">
        <v>26113</v>
      </c>
      <c r="AB18" s="34">
        <v>7559.37014</v>
      </c>
      <c r="AC18" s="34">
        <v>200.41182000000001</v>
      </c>
      <c r="AD18" s="34">
        <v>3968.2181729999993</v>
      </c>
      <c r="AE18" s="34">
        <v>407.46326199999999</v>
      </c>
      <c r="AF18" s="32">
        <f t="shared" si="2"/>
        <v>12135.463394999999</v>
      </c>
      <c r="AH18" s="31">
        <v>3453.6744509999999</v>
      </c>
      <c r="AI18" s="31">
        <v>161.28051899999997</v>
      </c>
      <c r="AJ18" s="31">
        <v>288.44421199999999</v>
      </c>
      <c r="AK18" s="31">
        <v>40.507695000000012</v>
      </c>
      <c r="AL18" s="31">
        <v>9.8436650000000014</v>
      </c>
      <c r="AM18" s="31">
        <v>14.467630999999999</v>
      </c>
      <c r="AN18" s="32">
        <f t="shared" si="17"/>
        <v>514.543722</v>
      </c>
      <c r="AO18" s="35">
        <f t="shared" si="3"/>
        <v>4.3982530231170561E-2</v>
      </c>
      <c r="AQ18" s="30">
        <v>54.227800774193526</v>
      </c>
      <c r="AR18" s="36">
        <f t="shared" si="18"/>
        <v>45.268328389409156</v>
      </c>
      <c r="AS18" s="36">
        <f t="shared" si="18"/>
        <v>8.959472384784366</v>
      </c>
      <c r="AT18" s="30">
        <v>4.6122140000000007</v>
      </c>
      <c r="AU18" s="30">
        <v>26.654758000000001</v>
      </c>
      <c r="AV18" s="30">
        <v>0.38727999999999996</v>
      </c>
      <c r="AW18" s="30">
        <f t="shared" si="4"/>
        <v>55.287665723655891</v>
      </c>
      <c r="AX18" s="7"/>
      <c r="AY18" s="36">
        <v>13.828507744247865</v>
      </c>
      <c r="AZ18" s="36">
        <v>8.959472384784366</v>
      </c>
      <c r="BA18" s="36">
        <v>31.439820645161291</v>
      </c>
      <c r="BB18" s="36">
        <v>0</v>
      </c>
      <c r="BC18" s="7"/>
      <c r="BD18" s="32">
        <f t="shared" si="5"/>
        <v>1904.5116045131233</v>
      </c>
      <c r="BE18" s="32">
        <f t="shared" si="6"/>
        <v>1186.3500952400175</v>
      </c>
      <c r="BF18" s="7"/>
      <c r="BG18" s="30">
        <v>4.0172086948003649</v>
      </c>
      <c r="BH18" s="36">
        <v>3.3047998462428594</v>
      </c>
      <c r="BI18" s="36">
        <v>7.6167016469512712</v>
      </c>
      <c r="BJ18" s="28">
        <v>485.26403561090461</v>
      </c>
      <c r="BK18" s="28">
        <v>566.54009908488149</v>
      </c>
      <c r="BL18" s="28">
        <v>134.1</v>
      </c>
      <c r="BM18" s="30">
        <f t="shared" si="7"/>
        <v>4.2141668741124736</v>
      </c>
      <c r="BN18" s="7"/>
      <c r="BO18" s="29">
        <f t="shared" si="8"/>
        <v>250.11763614332438</v>
      </c>
      <c r="BP18" s="29">
        <f t="shared" si="22"/>
        <v>17.391065065144652</v>
      </c>
      <c r="BQ18" s="30">
        <f t="shared" si="23"/>
        <v>267.50870120846901</v>
      </c>
      <c r="BS18" s="31">
        <v>0</v>
      </c>
      <c r="BT18" s="31">
        <v>12.307694999999999</v>
      </c>
      <c r="BU18" s="31">
        <v>0</v>
      </c>
      <c r="BV18" s="31">
        <v>0</v>
      </c>
      <c r="BW18" s="31">
        <v>0</v>
      </c>
      <c r="BX18" s="31">
        <v>0</v>
      </c>
      <c r="BY18" s="32">
        <f t="shared" si="9"/>
        <v>12.307694999999999</v>
      </c>
      <c r="BZ18" s="31">
        <v>0</v>
      </c>
      <c r="CA18" s="31">
        <v>0.59510600000000002</v>
      </c>
      <c r="CB18" s="31">
        <v>0</v>
      </c>
      <c r="CC18" s="31">
        <v>13.063416</v>
      </c>
      <c r="CD18" s="31">
        <v>393.80473999999998</v>
      </c>
      <c r="CE18" s="31">
        <v>0</v>
      </c>
      <c r="CF18" s="32">
        <f t="shared" si="19"/>
        <v>407.46326199999999</v>
      </c>
      <c r="CG18" s="7"/>
      <c r="CH18" s="31">
        <v>0</v>
      </c>
      <c r="CI18" s="31">
        <v>0</v>
      </c>
      <c r="CJ18" s="31">
        <v>0</v>
      </c>
      <c r="CK18" s="31">
        <v>0</v>
      </c>
      <c r="CL18" s="31">
        <v>0</v>
      </c>
      <c r="CM18" s="32">
        <f t="shared" si="20"/>
        <v>0</v>
      </c>
      <c r="CN18" s="31">
        <v>12.960712839206156</v>
      </c>
      <c r="CO18" s="31">
        <v>0</v>
      </c>
      <c r="CP18" s="31">
        <v>120.02160118806532</v>
      </c>
      <c r="CQ18" s="31">
        <v>18.74482157036244</v>
      </c>
      <c r="CR18" s="31">
        <v>0</v>
      </c>
      <c r="CS18" s="32">
        <f t="shared" si="10"/>
        <v>21.964413788472452</v>
      </c>
      <c r="CU18" s="61">
        <v>51.074444431238291</v>
      </c>
      <c r="CV18" s="61">
        <v>9.1253413244666088</v>
      </c>
      <c r="CW18" s="61">
        <v>2.2840118365675646</v>
      </c>
      <c r="CX18" s="62">
        <v>2.7362024077275446</v>
      </c>
      <c r="CY18" s="63">
        <v>65.220000000000013</v>
      </c>
      <c r="DA18" s="32">
        <v>1571.3306451612893</v>
      </c>
      <c r="DB18" s="30">
        <v>41.77558547277733</v>
      </c>
      <c r="DD18" s="50">
        <v>1606.1731173006872</v>
      </c>
      <c r="DE18" s="29">
        <f t="shared" si="21"/>
        <v>43.369059465389157</v>
      </c>
      <c r="DF18" s="51">
        <f t="shared" si="11"/>
        <v>0.66496564651010648</v>
      </c>
      <c r="DH18" s="33"/>
      <c r="DI18" s="32"/>
      <c r="DK18" s="50"/>
      <c r="DL18" s="50"/>
      <c r="DN18" s="31"/>
      <c r="DO18" s="31"/>
      <c r="DQ18" s="29"/>
      <c r="DR18" s="29"/>
      <c r="DT18" s="54"/>
      <c r="DU18" s="54"/>
      <c r="DV18" s="51"/>
      <c r="DX18" s="33"/>
      <c r="DY18" s="33"/>
      <c r="DZ18" s="33"/>
      <c r="EA18" s="33"/>
      <c r="EB18" s="33"/>
      <c r="EC18" s="33"/>
      <c r="ED18" s="33"/>
      <c r="EE18" s="32"/>
      <c r="EF18" s="33"/>
      <c r="EG18" s="33"/>
      <c r="EH18" s="33"/>
      <c r="EI18" s="32"/>
      <c r="EJ18" s="33"/>
      <c r="EK18" s="33"/>
      <c r="EL18" s="33"/>
      <c r="EM18" s="33"/>
      <c r="EN18" s="32"/>
      <c r="EO18" s="32"/>
      <c r="EP18" s="70">
        <f t="shared" si="12"/>
        <v>12135.463394999999</v>
      </c>
    </row>
    <row r="19" spans="1:146" x14ac:dyDescent="0.4">
      <c r="A19" s="22">
        <f t="shared" si="13"/>
        <v>2019</v>
      </c>
      <c r="B19" s="37">
        <v>43497</v>
      </c>
      <c r="C19" s="38">
        <f t="shared" si="14"/>
        <v>28</v>
      </c>
      <c r="D19" s="39">
        <v>37.603428571428907</v>
      </c>
      <c r="E19" s="39">
        <v>38.9983</v>
      </c>
      <c r="F19" s="39">
        <v>54.95</v>
      </c>
      <c r="G19" s="39">
        <v>63.96</v>
      </c>
      <c r="H19" s="7"/>
      <c r="I19" s="40">
        <v>24.13035714285714</v>
      </c>
      <c r="J19" s="39">
        <v>30.9</v>
      </c>
      <c r="K19" s="39">
        <v>16.95</v>
      </c>
      <c r="L19" s="40">
        <v>23.6</v>
      </c>
      <c r="M19" s="22"/>
      <c r="N19" s="41">
        <v>4640.5707789999988</v>
      </c>
      <c r="O19" s="41">
        <v>3124.2626260000002</v>
      </c>
      <c r="P19" s="42">
        <f t="shared" si="15"/>
        <v>7764.8334049999994</v>
      </c>
      <c r="Q19" s="41">
        <v>1112.5008680000001</v>
      </c>
      <c r="R19" s="41">
        <v>399.09760200000011</v>
      </c>
      <c r="S19" s="41">
        <v>1430.523441999999</v>
      </c>
      <c r="T19" s="41"/>
      <c r="U19" s="42">
        <f t="shared" si="16"/>
        <v>2942.1219119999992</v>
      </c>
      <c r="V19" s="42">
        <f t="shared" si="0"/>
        <v>10706.955316999998</v>
      </c>
      <c r="W19" s="39">
        <v>32.928291999999999</v>
      </c>
      <c r="X19" s="42">
        <f t="shared" si="1"/>
        <v>10739.883608999999</v>
      </c>
      <c r="Z19" s="42">
        <v>25897</v>
      </c>
      <c r="AB19" s="41">
        <v>7645.3729170000006</v>
      </c>
      <c r="AC19" s="41">
        <v>300.50234399999999</v>
      </c>
      <c r="AD19" s="41">
        <v>3025.2260260000003</v>
      </c>
      <c r="AE19" s="41">
        <v>120.592489</v>
      </c>
      <c r="AF19" s="42">
        <f t="shared" si="2"/>
        <v>11091.693776000002</v>
      </c>
      <c r="AH19" s="41">
        <v>2587.3997140000001</v>
      </c>
      <c r="AI19" s="41">
        <v>131.67813600000002</v>
      </c>
      <c r="AJ19" s="41">
        <v>232.95045999999999</v>
      </c>
      <c r="AK19" s="41">
        <v>43.878129000000001</v>
      </c>
      <c r="AL19" s="41">
        <v>14.922839000000002</v>
      </c>
      <c r="AM19" s="41">
        <v>14.396747999999999</v>
      </c>
      <c r="AN19" s="42">
        <f t="shared" si="17"/>
        <v>437.82631200000003</v>
      </c>
      <c r="AO19" s="43">
        <f t="shared" si="3"/>
        <v>4.0891766056484806E-2</v>
      </c>
      <c r="AQ19" s="40">
        <v>60.102630142857123</v>
      </c>
      <c r="AR19" s="44">
        <f t="shared" si="18"/>
        <v>49.054734688469587</v>
      </c>
      <c r="AS19" s="44">
        <f t="shared" si="18"/>
        <v>11.047895454387536</v>
      </c>
      <c r="AT19" s="40">
        <v>28.149646999999995</v>
      </c>
      <c r="AU19" s="40">
        <v>29.029507000000013</v>
      </c>
      <c r="AV19" s="40">
        <v>19.689896000000001</v>
      </c>
      <c r="AW19" s="40">
        <f t="shared" si="4"/>
        <v>62.786580606547602</v>
      </c>
      <c r="AX19" s="7"/>
      <c r="AY19" s="44">
        <v>18.015416831326728</v>
      </c>
      <c r="AZ19" s="44">
        <v>11.047895454387536</v>
      </c>
      <c r="BA19" s="44">
        <v>31.039317857142859</v>
      </c>
      <c r="BB19" s="44">
        <v>0</v>
      </c>
      <c r="BC19" s="7"/>
      <c r="BD19" s="38">
        <f t="shared" si="5"/>
        <v>1931.547868099891</v>
      </c>
      <c r="BE19" s="38">
        <f t="shared" si="6"/>
        <v>1331.3930276918957</v>
      </c>
      <c r="BF19" s="7"/>
      <c r="BG19" s="40">
        <v>3.9436922456528682</v>
      </c>
      <c r="BH19" s="44">
        <v>3.0906961955416881</v>
      </c>
      <c r="BI19" s="44">
        <v>7.7311552155254528</v>
      </c>
      <c r="BJ19" s="38">
        <v>485.26403561090461</v>
      </c>
      <c r="BK19" s="38">
        <v>566.54009908488149</v>
      </c>
      <c r="BL19" s="38">
        <v>134.1</v>
      </c>
      <c r="BM19" s="40">
        <f t="shared" si="7"/>
        <v>4.2780408039829982</v>
      </c>
      <c r="BN19" s="7"/>
      <c r="BO19" s="39">
        <f t="shared" si="8"/>
        <v>245.80502741690307</v>
      </c>
      <c r="BP19" s="39">
        <f t="shared" si="22"/>
        <v>32.746806130007663</v>
      </c>
      <c r="BQ19" s="40">
        <f t="shared" si="23"/>
        <v>278.55183354691076</v>
      </c>
      <c r="BS19" s="41">
        <v>32.924201000000004</v>
      </c>
      <c r="BT19" s="41">
        <v>0</v>
      </c>
      <c r="BU19" s="41">
        <v>0</v>
      </c>
      <c r="BV19" s="41">
        <v>0</v>
      </c>
      <c r="BW19" s="41">
        <v>0</v>
      </c>
      <c r="BX19" s="41">
        <v>0</v>
      </c>
      <c r="BY19" s="42">
        <f t="shared" si="9"/>
        <v>32.924201000000004</v>
      </c>
      <c r="BZ19" s="41">
        <v>0</v>
      </c>
      <c r="CA19" s="41">
        <v>0.313863</v>
      </c>
      <c r="CB19" s="41">
        <v>0</v>
      </c>
      <c r="CC19" s="41">
        <v>9.9582960000000007</v>
      </c>
      <c r="CD19" s="41">
        <v>110.32033</v>
      </c>
      <c r="CE19" s="41">
        <v>0</v>
      </c>
      <c r="CF19" s="42">
        <f t="shared" si="19"/>
        <v>120.592489</v>
      </c>
      <c r="CG19" s="7"/>
      <c r="CH19" s="41">
        <v>45</v>
      </c>
      <c r="CI19" s="41">
        <v>0</v>
      </c>
      <c r="CJ19" s="41">
        <v>0</v>
      </c>
      <c r="CK19" s="41">
        <v>0</v>
      </c>
      <c r="CL19" s="41">
        <v>0</v>
      </c>
      <c r="CM19" s="42">
        <f t="shared" si="20"/>
        <v>45</v>
      </c>
      <c r="CN19" s="41">
        <v>12.308228820230624</v>
      </c>
      <c r="CO19" s="41">
        <v>0</v>
      </c>
      <c r="CP19" s="41">
        <v>112.32369835850957</v>
      </c>
      <c r="CQ19" s="41">
        <v>20.77972182564185</v>
      </c>
      <c r="CR19" s="41">
        <v>0</v>
      </c>
      <c r="CS19" s="42">
        <f t="shared" si="10"/>
        <v>28.285164635599852</v>
      </c>
      <c r="CU19" s="64">
        <v>57.183435259650281</v>
      </c>
      <c r="CV19" s="64">
        <v>9.898953860887973</v>
      </c>
      <c r="CW19" s="64">
        <v>2.4825236888958422</v>
      </c>
      <c r="CX19" s="65">
        <v>2.5750871905659003</v>
      </c>
      <c r="CY19" s="66">
        <v>72.139999999999986</v>
      </c>
      <c r="DA19" s="42">
        <v>1898.2089732142856</v>
      </c>
      <c r="DB19" s="40">
        <v>50.32898230243228</v>
      </c>
      <c r="DD19" s="42">
        <v>2177.6073541104774</v>
      </c>
      <c r="DE19" s="39">
        <f t="shared" si="21"/>
        <v>55.838519989601529</v>
      </c>
      <c r="DF19" s="55">
        <f t="shared" si="11"/>
        <v>0.77402994163572969</v>
      </c>
      <c r="DH19" s="39"/>
      <c r="DI19" s="42"/>
      <c r="DK19" s="42"/>
      <c r="DL19" s="42"/>
      <c r="DN19" s="41"/>
      <c r="DO19" s="41"/>
      <c r="DQ19" s="39"/>
      <c r="DR19" s="39"/>
      <c r="DT19" s="56"/>
      <c r="DU19" s="56"/>
      <c r="DV19" s="55"/>
      <c r="DX19" s="39"/>
      <c r="DY19" s="39"/>
      <c r="DZ19" s="39"/>
      <c r="EA19" s="39"/>
      <c r="EB19" s="39"/>
      <c r="EC19" s="39"/>
      <c r="ED19" s="39"/>
      <c r="EE19" s="42"/>
      <c r="EF19" s="39"/>
      <c r="EG19" s="39"/>
      <c r="EH19" s="39"/>
      <c r="EI19" s="42"/>
      <c r="EJ19" s="39"/>
      <c r="EK19" s="39"/>
      <c r="EL19" s="39"/>
      <c r="EM19" s="39"/>
      <c r="EN19" s="42"/>
      <c r="EO19" s="39"/>
      <c r="EP19" s="71">
        <f t="shared" si="12"/>
        <v>11091.693776000002</v>
      </c>
    </row>
    <row r="20" spans="1:146" x14ac:dyDescent="0.4">
      <c r="A20" s="26">
        <f t="shared" si="13"/>
        <v>2019</v>
      </c>
      <c r="B20" s="27">
        <v>43525</v>
      </c>
      <c r="C20" s="28">
        <f t="shared" si="14"/>
        <v>31</v>
      </c>
      <c r="D20" s="29">
        <v>39.761548387096269</v>
      </c>
      <c r="E20" s="29">
        <v>43.353299999999997</v>
      </c>
      <c r="F20" s="29">
        <v>58.15</v>
      </c>
      <c r="G20" s="29">
        <v>66.14</v>
      </c>
      <c r="H20" s="7"/>
      <c r="I20" s="30">
        <v>21.196774193548389</v>
      </c>
      <c r="J20" s="29">
        <v>26.6</v>
      </c>
      <c r="K20" s="29">
        <v>16.05</v>
      </c>
      <c r="L20" s="30">
        <v>21.5</v>
      </c>
      <c r="M20" s="22"/>
      <c r="N20" s="31">
        <v>3995.7429609999995</v>
      </c>
      <c r="O20" s="31">
        <v>3051.4772929999995</v>
      </c>
      <c r="P20" s="32">
        <f t="shared" si="15"/>
        <v>7047.2202539999989</v>
      </c>
      <c r="Q20" s="31">
        <v>1104.3643910000001</v>
      </c>
      <c r="R20" s="31">
        <v>361.11588099999994</v>
      </c>
      <c r="S20" s="31">
        <v>1607.3574099999989</v>
      </c>
      <c r="T20" s="31"/>
      <c r="U20" s="32">
        <f t="shared" si="16"/>
        <v>3072.8376819999989</v>
      </c>
      <c r="V20" s="32">
        <f t="shared" si="0"/>
        <v>10120.057935999997</v>
      </c>
      <c r="W20" s="33">
        <v>3.5368350000000004</v>
      </c>
      <c r="X20" s="32">
        <f t="shared" si="1"/>
        <v>10123.594770999998</v>
      </c>
      <c r="Z20" s="32">
        <v>22426</v>
      </c>
      <c r="AB20" s="34">
        <v>6231.2343000000001</v>
      </c>
      <c r="AC20" s="34">
        <v>527.39184699999998</v>
      </c>
      <c r="AD20" s="34">
        <v>3468.5608160000002</v>
      </c>
      <c r="AE20" s="34">
        <v>246.81810200000001</v>
      </c>
      <c r="AF20" s="32">
        <f t="shared" si="2"/>
        <v>10474.005064999999</v>
      </c>
      <c r="AH20" s="31">
        <v>2948.3102589999999</v>
      </c>
      <c r="AI20" s="31">
        <v>123.88269700000002</v>
      </c>
      <c r="AJ20" s="31">
        <v>308.71078499999999</v>
      </c>
      <c r="AK20" s="31">
        <v>50.847858000000016</v>
      </c>
      <c r="AL20" s="31">
        <v>15.575685000000002</v>
      </c>
      <c r="AM20" s="31">
        <v>21.233532000000004</v>
      </c>
      <c r="AN20" s="32">
        <f t="shared" si="17"/>
        <v>520.25055700000007</v>
      </c>
      <c r="AO20" s="35">
        <f t="shared" si="3"/>
        <v>5.140786350138541E-2</v>
      </c>
      <c r="AQ20" s="30">
        <v>44.276793677419342</v>
      </c>
      <c r="AR20" s="36">
        <f t="shared" si="18"/>
        <v>37.41856026550613</v>
      </c>
      <c r="AS20" s="36">
        <f t="shared" si="18"/>
        <v>6.858233411913214</v>
      </c>
      <c r="AT20" s="30">
        <v>0</v>
      </c>
      <c r="AU20" s="30">
        <v>6.6576110000000028</v>
      </c>
      <c r="AV20" s="30">
        <v>0</v>
      </c>
      <c r="AW20" s="30">
        <f t="shared" si="4"/>
        <v>44.496157357834086</v>
      </c>
      <c r="AX20" s="7"/>
      <c r="AY20" s="36">
        <v>15.749271233248066</v>
      </c>
      <c r="AZ20" s="36">
        <v>6.858233411913214</v>
      </c>
      <c r="BA20" s="36">
        <v>21.669289032258064</v>
      </c>
      <c r="BB20" s="36">
        <v>0</v>
      </c>
      <c r="BC20" s="7"/>
      <c r="BD20" s="32">
        <f t="shared" si="5"/>
        <v>1859.470984100212</v>
      </c>
      <c r="BE20" s="32">
        <f t="shared" si="6"/>
        <v>1106.243438309813</v>
      </c>
      <c r="BF20" s="7"/>
      <c r="BG20" s="30">
        <v>3.5676098472726707</v>
      </c>
      <c r="BH20" s="36">
        <v>2.9189037611898931</v>
      </c>
      <c r="BI20" s="36">
        <v>7.1069539201244414</v>
      </c>
      <c r="BJ20" s="28">
        <v>485.26403561090461</v>
      </c>
      <c r="BK20" s="28">
        <v>566.52560088519863</v>
      </c>
      <c r="BL20" s="28">
        <v>134.1</v>
      </c>
      <c r="BM20" s="30">
        <f t="shared" si="7"/>
        <v>3.6238491118329916</v>
      </c>
      <c r="BN20" s="7"/>
      <c r="BO20" s="29">
        <f t="shared" si="8"/>
        <v>181.36415107429144</v>
      </c>
      <c r="BP20" s="29">
        <f t="shared" si="22"/>
        <v>3.7717070722349098</v>
      </c>
      <c r="BQ20" s="30">
        <f t="shared" si="23"/>
        <v>185.13585814652635</v>
      </c>
      <c r="BS20" s="31">
        <v>3.4768229999999996</v>
      </c>
      <c r="BT20" s="31">
        <v>6.0012000000000003E-2</v>
      </c>
      <c r="BU20" s="31">
        <v>0</v>
      </c>
      <c r="BV20" s="31">
        <v>0</v>
      </c>
      <c r="BW20" s="31">
        <v>0</v>
      </c>
      <c r="BX20" s="31">
        <v>0</v>
      </c>
      <c r="BY20" s="32">
        <f t="shared" si="9"/>
        <v>3.5368349999999995</v>
      </c>
      <c r="BZ20" s="31">
        <v>0</v>
      </c>
      <c r="CA20" s="31">
        <v>5.5637999999999993E-2</v>
      </c>
      <c r="CB20" s="31">
        <v>0</v>
      </c>
      <c r="CC20" s="31">
        <v>10.349034</v>
      </c>
      <c r="CD20" s="31">
        <v>236.41343000000001</v>
      </c>
      <c r="CE20" s="31">
        <v>0</v>
      </c>
      <c r="CF20" s="32">
        <f t="shared" si="19"/>
        <v>246.81810200000001</v>
      </c>
      <c r="CG20" s="7"/>
      <c r="CH20" s="31">
        <v>45</v>
      </c>
      <c r="CI20" s="31">
        <v>0</v>
      </c>
      <c r="CJ20" s="31">
        <v>0</v>
      </c>
      <c r="CK20" s="31">
        <v>0</v>
      </c>
      <c r="CL20" s="31">
        <v>0</v>
      </c>
      <c r="CM20" s="32">
        <f t="shared" si="20"/>
        <v>44.236452930374192</v>
      </c>
      <c r="CN20" s="31">
        <v>11.071821522237062</v>
      </c>
      <c r="CO20" s="31">
        <v>0</v>
      </c>
      <c r="CP20" s="31">
        <v>120.00009226517932</v>
      </c>
      <c r="CQ20" s="31">
        <v>19.266669885307238</v>
      </c>
      <c r="CR20" s="31">
        <v>0</v>
      </c>
      <c r="CS20" s="32">
        <f t="shared" si="10"/>
        <v>23.486059167243205</v>
      </c>
      <c r="CU20" s="61">
        <v>50.573832664501438</v>
      </c>
      <c r="CV20" s="61">
        <v>9.8950281058307432</v>
      </c>
      <c r="CW20" s="61">
        <v>2.1124264593147002</v>
      </c>
      <c r="CX20" s="62">
        <v>2.568712770353113</v>
      </c>
      <c r="CY20" s="63">
        <v>65.149999999999991</v>
      </c>
      <c r="DA20" s="32">
        <v>1349.7204166666652</v>
      </c>
      <c r="DB20" s="30">
        <v>33.95838393336755</v>
      </c>
      <c r="DD20" s="50">
        <v>2177.3072145991136</v>
      </c>
      <c r="DE20" s="29">
        <f t="shared" si="21"/>
        <v>50.222410164834365</v>
      </c>
      <c r="DF20" s="51">
        <f t="shared" si="11"/>
        <v>0.77087352517013619</v>
      </c>
      <c r="DH20" s="33"/>
      <c r="DI20" s="32"/>
      <c r="DK20" s="50"/>
      <c r="DL20" s="50"/>
      <c r="DN20" s="31"/>
      <c r="DO20" s="31"/>
      <c r="DQ20" s="29"/>
      <c r="DR20" s="29"/>
      <c r="DT20" s="54"/>
      <c r="DU20" s="54"/>
      <c r="DV20" s="51"/>
      <c r="DX20" s="33"/>
      <c r="DY20" s="33"/>
      <c r="DZ20" s="33"/>
      <c r="EA20" s="33"/>
      <c r="EB20" s="33"/>
      <c r="EC20" s="33"/>
      <c r="ED20" s="33"/>
      <c r="EE20" s="32"/>
      <c r="EF20" s="33"/>
      <c r="EG20" s="33"/>
      <c r="EH20" s="33"/>
      <c r="EI20" s="32"/>
      <c r="EJ20" s="33"/>
      <c r="EK20" s="33"/>
      <c r="EL20" s="33"/>
      <c r="EM20" s="33"/>
      <c r="EN20" s="32"/>
      <c r="EO20" s="32"/>
      <c r="EP20" s="70">
        <f t="shared" si="12"/>
        <v>10474.005064999999</v>
      </c>
    </row>
    <row r="21" spans="1:146" x14ac:dyDescent="0.4">
      <c r="A21" s="22">
        <f t="shared" si="13"/>
        <v>2019</v>
      </c>
      <c r="B21" s="37">
        <v>43556</v>
      </c>
      <c r="C21" s="38">
        <f t="shared" si="14"/>
        <v>30</v>
      </c>
      <c r="D21" s="39">
        <v>42.785799999999767</v>
      </c>
      <c r="E21" s="39">
        <v>44.01</v>
      </c>
      <c r="F21" s="39">
        <v>63.86</v>
      </c>
      <c r="G21" s="39">
        <v>71.23</v>
      </c>
      <c r="H21" s="7"/>
      <c r="I21" s="40">
        <v>19.678333333333335</v>
      </c>
      <c r="J21" s="39">
        <v>27.35</v>
      </c>
      <c r="K21" s="39">
        <v>14.6</v>
      </c>
      <c r="L21" s="40">
        <v>17.8</v>
      </c>
      <c r="M21" s="22"/>
      <c r="N21" s="41">
        <v>3647.8123499999997</v>
      </c>
      <c r="O21" s="41">
        <v>2893.7298659999988</v>
      </c>
      <c r="P21" s="42">
        <f t="shared" si="15"/>
        <v>6541.542215999998</v>
      </c>
      <c r="Q21" s="41">
        <v>1077.5153090000001</v>
      </c>
      <c r="R21" s="41">
        <v>365.63174400000008</v>
      </c>
      <c r="S21" s="41">
        <v>1587.4413759999991</v>
      </c>
      <c r="T21" s="41"/>
      <c r="U21" s="42">
        <f t="shared" si="16"/>
        <v>3030.5884289999995</v>
      </c>
      <c r="V21" s="42">
        <f t="shared" si="0"/>
        <v>9572.1306449999975</v>
      </c>
      <c r="W21" s="39">
        <v>7.3800000000000003E-3</v>
      </c>
      <c r="X21" s="42">
        <f t="shared" si="1"/>
        <v>9572.1380249999966</v>
      </c>
      <c r="Z21" s="42">
        <v>18876</v>
      </c>
      <c r="AB21" s="41">
        <v>5824.9826290000001</v>
      </c>
      <c r="AC21" s="41">
        <v>640.07879299999991</v>
      </c>
      <c r="AD21" s="41">
        <v>3276.2047160000002</v>
      </c>
      <c r="AE21" s="41">
        <v>151.667766</v>
      </c>
      <c r="AF21" s="42">
        <f t="shared" si="2"/>
        <v>9892.9339039999995</v>
      </c>
      <c r="AH21" s="41">
        <v>2721.8783640000001</v>
      </c>
      <c r="AI21" s="41">
        <v>138.36614299999999</v>
      </c>
      <c r="AJ21" s="41">
        <v>330.59477699999997</v>
      </c>
      <c r="AK21" s="41">
        <v>50.471702000000008</v>
      </c>
      <c r="AL21" s="41">
        <v>12.61853</v>
      </c>
      <c r="AM21" s="41">
        <v>22.275200000000002</v>
      </c>
      <c r="AN21" s="42">
        <f t="shared" si="17"/>
        <v>554.32635200000004</v>
      </c>
      <c r="AO21" s="43">
        <f t="shared" si="3"/>
        <v>5.7910445705163086E-2</v>
      </c>
      <c r="AQ21" s="40">
        <v>43.221632600000028</v>
      </c>
      <c r="AR21" s="44">
        <f t="shared" si="18"/>
        <v>36.017442686066325</v>
      </c>
      <c r="AS21" s="44">
        <f t="shared" si="18"/>
        <v>7.2041899139337051</v>
      </c>
      <c r="AT21" s="40">
        <v>7.8200000000000003E-4</v>
      </c>
      <c r="AU21" s="40">
        <v>6.3691509999999996</v>
      </c>
      <c r="AV21" s="40">
        <v>0</v>
      </c>
      <c r="AW21" s="40">
        <f t="shared" si="4"/>
        <v>43.4385174380159</v>
      </c>
      <c r="AX21" s="7"/>
      <c r="AY21" s="44">
        <v>9.0603823527329936</v>
      </c>
      <c r="AZ21" s="44">
        <v>7.2041899139337051</v>
      </c>
      <c r="BA21" s="44">
        <v>26.957060333333331</v>
      </c>
      <c r="BB21" s="44">
        <v>0</v>
      </c>
      <c r="BC21" s="7"/>
      <c r="BD21" s="38">
        <f t="shared" si="5"/>
        <v>1879.2341697093166</v>
      </c>
      <c r="BE21" s="38">
        <f t="shared" si="6"/>
        <v>1106.4974759362353</v>
      </c>
      <c r="BF21" s="7"/>
      <c r="BG21" s="40">
        <v>3.4553385539027546</v>
      </c>
      <c r="BH21" s="44">
        <v>2.9422881306309758</v>
      </c>
      <c r="BI21" s="44">
        <v>6.0203409255800144</v>
      </c>
      <c r="BJ21" s="38">
        <v>485.26403561090461</v>
      </c>
      <c r="BK21" s="38">
        <v>566.52560088519863</v>
      </c>
      <c r="BL21" s="38">
        <v>145.79998440589858</v>
      </c>
      <c r="BM21" s="40">
        <f t="shared" si="7"/>
        <v>3.5128540843879583</v>
      </c>
      <c r="BN21" s="7"/>
      <c r="BO21" s="39">
        <f t="shared" si="8"/>
        <v>165.93930387266693</v>
      </c>
      <c r="BP21" s="39">
        <f t="shared" si="22"/>
        <v>3.6086665738794115</v>
      </c>
      <c r="BQ21" s="40">
        <f t="shared" si="23"/>
        <v>169.54797044654634</v>
      </c>
      <c r="BS21" s="41">
        <v>0</v>
      </c>
      <c r="BT21" s="41">
        <v>0</v>
      </c>
      <c r="BU21" s="41">
        <v>0</v>
      </c>
      <c r="BV21" s="41">
        <v>7.3800000000000003E-3</v>
      </c>
      <c r="BW21" s="41">
        <v>0</v>
      </c>
      <c r="BX21" s="41">
        <v>0</v>
      </c>
      <c r="BY21" s="42">
        <f t="shared" si="9"/>
        <v>7.3800000000000003E-3</v>
      </c>
      <c r="BZ21" s="41">
        <v>0</v>
      </c>
      <c r="CA21" s="41">
        <v>0</v>
      </c>
      <c r="CB21" s="41">
        <v>0</v>
      </c>
      <c r="CC21" s="41">
        <v>9.6778860000000009</v>
      </c>
      <c r="CD21" s="41">
        <v>141.98988</v>
      </c>
      <c r="CE21" s="41">
        <v>0</v>
      </c>
      <c r="CF21" s="42">
        <f t="shared" si="19"/>
        <v>151.667766</v>
      </c>
      <c r="CG21" s="7"/>
      <c r="CH21" s="41">
        <v>0</v>
      </c>
      <c r="CI21" s="41">
        <v>0</v>
      </c>
      <c r="CJ21" s="41">
        <v>0</v>
      </c>
      <c r="CK21" s="41">
        <v>0</v>
      </c>
      <c r="CL21" s="41">
        <v>0</v>
      </c>
      <c r="CM21" s="42">
        <f t="shared" si="20"/>
        <v>0</v>
      </c>
      <c r="CN21" s="41">
        <v>0</v>
      </c>
      <c r="CO21" s="41">
        <v>0</v>
      </c>
      <c r="CP21" s="41">
        <v>120.01817768688942</v>
      </c>
      <c r="CQ21" s="41">
        <v>22.555938039778365</v>
      </c>
      <c r="CR21" s="41">
        <v>0</v>
      </c>
      <c r="CS21" s="42">
        <f t="shared" si="10"/>
        <v>28.774981607740074</v>
      </c>
      <c r="CU21" s="64">
        <v>53.724299232081215</v>
      </c>
      <c r="CV21" s="64">
        <v>9.9338218212892926</v>
      </c>
      <c r="CW21" s="64">
        <v>1.9135646232238024</v>
      </c>
      <c r="CX21" s="65">
        <v>2.5483143234056866</v>
      </c>
      <c r="CY21" s="66">
        <v>68.12</v>
      </c>
      <c r="DA21" s="42">
        <v>1484.76588888889</v>
      </c>
      <c r="DB21" s="40">
        <v>34.686512178904223</v>
      </c>
      <c r="DD21" s="42">
        <v>2164.2775455603564</v>
      </c>
      <c r="DE21" s="39">
        <f t="shared" si="21"/>
        <v>49.176949456040823</v>
      </c>
      <c r="DF21" s="55">
        <f t="shared" si="11"/>
        <v>0.72191646294833856</v>
      </c>
      <c r="DH21" s="39"/>
      <c r="DI21" s="42"/>
      <c r="DK21" s="42"/>
      <c r="DL21" s="42"/>
      <c r="DN21" s="41"/>
      <c r="DO21" s="41"/>
      <c r="DQ21" s="39"/>
      <c r="DR21" s="39"/>
      <c r="DT21" s="56"/>
      <c r="DU21" s="56"/>
      <c r="DV21" s="55"/>
      <c r="DX21" s="39"/>
      <c r="DY21" s="39"/>
      <c r="DZ21" s="39"/>
      <c r="EA21" s="39"/>
      <c r="EB21" s="39"/>
      <c r="EC21" s="39"/>
      <c r="ED21" s="39"/>
      <c r="EE21" s="42"/>
      <c r="EF21" s="39"/>
      <c r="EG21" s="39"/>
      <c r="EH21" s="39"/>
      <c r="EI21" s="42"/>
      <c r="EJ21" s="39"/>
      <c r="EK21" s="39"/>
      <c r="EL21" s="39"/>
      <c r="EM21" s="39"/>
      <c r="EN21" s="42"/>
      <c r="EO21" s="39"/>
      <c r="EP21" s="71">
        <f t="shared" si="12"/>
        <v>9892.9339039999995</v>
      </c>
    </row>
    <row r="22" spans="1:146" x14ac:dyDescent="0.4">
      <c r="A22" s="26">
        <f t="shared" si="13"/>
        <v>2019</v>
      </c>
      <c r="B22" s="27">
        <v>43586</v>
      </c>
      <c r="C22" s="28">
        <f t="shared" si="14"/>
        <v>31</v>
      </c>
      <c r="D22" s="29">
        <v>44.043451612903176</v>
      </c>
      <c r="E22" s="29">
        <v>44.87</v>
      </c>
      <c r="F22" s="29">
        <v>60.83</v>
      </c>
      <c r="G22" s="29">
        <v>71.319999999999993</v>
      </c>
      <c r="H22" s="7"/>
      <c r="I22" s="30">
        <v>15.983870967741936</v>
      </c>
      <c r="J22" s="29">
        <v>21.85</v>
      </c>
      <c r="K22" s="29">
        <v>11.5</v>
      </c>
      <c r="L22" s="30">
        <v>14.600000000000001</v>
      </c>
      <c r="M22" s="22"/>
      <c r="N22" s="31">
        <v>4358.2273509999977</v>
      </c>
      <c r="O22" s="31">
        <v>2970.819446</v>
      </c>
      <c r="P22" s="32">
        <f t="shared" si="15"/>
        <v>7329.0467969999972</v>
      </c>
      <c r="Q22" s="31">
        <v>1080.7495080000001</v>
      </c>
      <c r="R22" s="31">
        <v>364.50945399999995</v>
      </c>
      <c r="S22" s="31">
        <v>1607.7563969999985</v>
      </c>
      <c r="T22" s="31"/>
      <c r="U22" s="32">
        <f t="shared" si="16"/>
        <v>3053.0153589999986</v>
      </c>
      <c r="V22" s="32">
        <f t="shared" si="0"/>
        <v>10382.062155999996</v>
      </c>
      <c r="W22" s="33">
        <v>1.1820000000000001E-3</v>
      </c>
      <c r="X22" s="32">
        <f t="shared" si="1"/>
        <v>10382.063337999996</v>
      </c>
      <c r="Z22" s="32">
        <v>21074</v>
      </c>
      <c r="AB22" s="34">
        <v>6067.3332599999994</v>
      </c>
      <c r="AC22" s="34">
        <v>836.71248500000002</v>
      </c>
      <c r="AD22" s="34">
        <v>3542.0925590000002</v>
      </c>
      <c r="AE22" s="34">
        <v>332.80488000000003</v>
      </c>
      <c r="AF22" s="32">
        <f t="shared" si="2"/>
        <v>10778.943184</v>
      </c>
      <c r="AH22" s="31">
        <v>3020.9986600000002</v>
      </c>
      <c r="AI22" s="31">
        <v>104.657031</v>
      </c>
      <c r="AJ22" s="31">
        <v>331.39181100000002</v>
      </c>
      <c r="AK22" s="31">
        <v>42.192620000000005</v>
      </c>
      <c r="AL22" s="31">
        <v>19.494352000000003</v>
      </c>
      <c r="AM22" s="31">
        <v>23.358085000000003</v>
      </c>
      <c r="AN22" s="32">
        <f t="shared" si="17"/>
        <v>521.09389900000008</v>
      </c>
      <c r="AO22" s="35">
        <f t="shared" si="3"/>
        <v>5.0191752964881813E-2</v>
      </c>
      <c r="AQ22" s="30">
        <v>42.816097612903228</v>
      </c>
      <c r="AR22" s="36">
        <f t="shared" si="18"/>
        <v>28.835612530332256</v>
      </c>
      <c r="AS22" s="36">
        <f t="shared" si="18"/>
        <v>13.980485082570976</v>
      </c>
      <c r="AT22" s="30">
        <v>1.1016999999999999E-2</v>
      </c>
      <c r="AU22" s="30">
        <v>10.376757000000001</v>
      </c>
      <c r="AV22" s="30">
        <v>18.549799</v>
      </c>
      <c r="AW22" s="30">
        <f t="shared" si="4"/>
        <v>43.543092452611369</v>
      </c>
      <c r="AX22" s="7"/>
      <c r="AY22" s="36">
        <v>8.11001898194516</v>
      </c>
      <c r="AZ22" s="36">
        <v>13.980485082570976</v>
      </c>
      <c r="BA22" s="36">
        <v>20.725593548387096</v>
      </c>
      <c r="BB22" s="36">
        <v>0</v>
      </c>
      <c r="BC22" s="7"/>
      <c r="BD22" s="32">
        <f t="shared" si="5"/>
        <v>1868.7981669660257</v>
      </c>
      <c r="BE22" s="32">
        <f t="shared" si="6"/>
        <v>1051.9232805207446</v>
      </c>
      <c r="BF22" s="7"/>
      <c r="BG22" s="30">
        <v>4.2840857439515165</v>
      </c>
      <c r="BH22" s="36">
        <v>2.8368749759227612</v>
      </c>
      <c r="BI22" s="36">
        <v>7.2690471891467698</v>
      </c>
      <c r="BJ22" s="28">
        <v>468.37561788799758</v>
      </c>
      <c r="BK22" s="28">
        <v>566.52560088519874</v>
      </c>
      <c r="BL22" s="28">
        <v>145.79998440589858</v>
      </c>
      <c r="BM22" s="30">
        <f t="shared" si="7"/>
        <v>4.3843479766773914</v>
      </c>
      <c r="BN22" s="7"/>
      <c r="BO22" s="29">
        <f t="shared" si="8"/>
        <v>210.60232723138273</v>
      </c>
      <c r="BP22" s="29">
        <f t="shared" si="22"/>
        <v>8.5884189937795163</v>
      </c>
      <c r="BQ22" s="30">
        <f t="shared" si="23"/>
        <v>219.19074622516226</v>
      </c>
      <c r="BS22" s="31">
        <v>0</v>
      </c>
      <c r="BT22" s="31">
        <v>0</v>
      </c>
      <c r="BU22" s="31">
        <v>0</v>
      </c>
      <c r="BV22" s="31">
        <v>1.1820000000000001E-3</v>
      </c>
      <c r="BW22" s="31">
        <v>0</v>
      </c>
      <c r="BX22" s="31">
        <v>0</v>
      </c>
      <c r="BY22" s="32">
        <f t="shared" si="9"/>
        <v>1.1820000000000001E-3</v>
      </c>
      <c r="BZ22" s="31">
        <v>0</v>
      </c>
      <c r="CA22" s="31">
        <v>0</v>
      </c>
      <c r="CB22" s="31">
        <v>0</v>
      </c>
      <c r="CC22" s="31">
        <v>8.7799800000000001</v>
      </c>
      <c r="CD22" s="31">
        <v>324.0249</v>
      </c>
      <c r="CE22" s="31">
        <v>0</v>
      </c>
      <c r="CF22" s="32">
        <f t="shared" si="19"/>
        <v>332.80488000000003</v>
      </c>
      <c r="CG22" s="7"/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2">
        <f t="shared" si="20"/>
        <v>0</v>
      </c>
      <c r="CN22" s="31">
        <v>0</v>
      </c>
      <c r="CO22" s="31">
        <v>0</v>
      </c>
      <c r="CP22" s="31">
        <v>120.01337196345011</v>
      </c>
      <c r="CQ22" s="31">
        <v>20.021632187441192</v>
      </c>
      <c r="CR22" s="31">
        <v>0</v>
      </c>
      <c r="CS22" s="32">
        <f t="shared" si="10"/>
        <v>22.659590727588085</v>
      </c>
      <c r="CU22" s="61">
        <v>55.435390256928827</v>
      </c>
      <c r="CV22" s="61">
        <v>9.1308005194331052</v>
      </c>
      <c r="CW22" s="61">
        <v>1.89783308320847</v>
      </c>
      <c r="CX22" s="62">
        <v>2.435976140429601</v>
      </c>
      <c r="CY22" s="63">
        <v>68.900000000000006</v>
      </c>
      <c r="DA22" s="32">
        <v>2165.2877956989246</v>
      </c>
      <c r="DB22" s="30">
        <v>48.79995873272258</v>
      </c>
      <c r="DD22" s="50">
        <v>2207.9956107631447</v>
      </c>
      <c r="DE22" s="29">
        <f t="shared" si="21"/>
        <v>49.20872767468564</v>
      </c>
      <c r="DF22" s="51">
        <f t="shared" si="11"/>
        <v>0.71420504607671464</v>
      </c>
      <c r="DH22" s="33"/>
      <c r="DI22" s="32"/>
      <c r="DK22" s="50"/>
      <c r="DL22" s="50"/>
      <c r="DN22" s="31"/>
      <c r="DO22" s="31"/>
      <c r="DQ22" s="29"/>
      <c r="DR22" s="29"/>
      <c r="DT22" s="54"/>
      <c r="DU22" s="54"/>
      <c r="DV22" s="51"/>
      <c r="DX22" s="33"/>
      <c r="DY22" s="33"/>
      <c r="DZ22" s="33"/>
      <c r="EA22" s="33"/>
      <c r="EB22" s="33"/>
      <c r="EC22" s="33"/>
      <c r="ED22" s="33"/>
      <c r="EE22" s="32"/>
      <c r="EF22" s="33"/>
      <c r="EG22" s="33"/>
      <c r="EH22" s="33"/>
      <c r="EI22" s="32"/>
      <c r="EJ22" s="33"/>
      <c r="EK22" s="33"/>
      <c r="EL22" s="33"/>
      <c r="EM22" s="33"/>
      <c r="EN22" s="32"/>
      <c r="EO22" s="32"/>
      <c r="EP22" s="70">
        <f t="shared" si="12"/>
        <v>10778.943184</v>
      </c>
    </row>
    <row r="23" spans="1:146" x14ac:dyDescent="0.4">
      <c r="A23" s="22">
        <f t="shared" si="13"/>
        <v>2019</v>
      </c>
      <c r="B23" s="37">
        <v>43617</v>
      </c>
      <c r="C23" s="38">
        <f t="shared" si="14"/>
        <v>30</v>
      </c>
      <c r="D23" s="39">
        <v>44.968866666666209</v>
      </c>
      <c r="E23" s="39">
        <v>42.448300000000003</v>
      </c>
      <c r="F23" s="39">
        <v>54.66</v>
      </c>
      <c r="G23" s="39">
        <v>64.22</v>
      </c>
      <c r="H23" s="7"/>
      <c r="I23" s="40">
        <v>14.57</v>
      </c>
      <c r="J23" s="39">
        <v>18.95</v>
      </c>
      <c r="K23" s="39">
        <v>9.4</v>
      </c>
      <c r="L23" s="40">
        <v>11.600000000000001</v>
      </c>
      <c r="M23" s="22"/>
      <c r="N23" s="41">
        <v>4815.8951909999987</v>
      </c>
      <c r="O23" s="41">
        <v>2943.9858670000003</v>
      </c>
      <c r="P23" s="42">
        <f t="shared" si="15"/>
        <v>7759.881057999999</v>
      </c>
      <c r="Q23" s="41">
        <v>1041.754729</v>
      </c>
      <c r="R23" s="41">
        <v>337.68957600000005</v>
      </c>
      <c r="S23" s="41">
        <v>1510.5291769999992</v>
      </c>
      <c r="T23" s="41"/>
      <c r="U23" s="42">
        <f t="shared" si="16"/>
        <v>2889.9734819999994</v>
      </c>
      <c r="V23" s="42">
        <f t="shared" si="0"/>
        <v>10649.854539999998</v>
      </c>
      <c r="W23" s="39">
        <v>3.0540000000000003E-3</v>
      </c>
      <c r="X23" s="42">
        <f t="shared" si="1"/>
        <v>10649.857593999999</v>
      </c>
      <c r="Z23" s="42">
        <v>22594</v>
      </c>
      <c r="AB23" s="41">
        <v>6624.7479299999995</v>
      </c>
      <c r="AC23" s="41">
        <v>742.11670600000002</v>
      </c>
      <c r="AD23" s="41">
        <v>3481.0816999999997</v>
      </c>
      <c r="AE23" s="41">
        <v>225.664321</v>
      </c>
      <c r="AF23" s="42">
        <f t="shared" si="2"/>
        <v>11073.610656999999</v>
      </c>
      <c r="AH23" s="41">
        <v>2891.0314729999996</v>
      </c>
      <c r="AI23" s="41">
        <v>83.387944999999988</v>
      </c>
      <c r="AJ23" s="41">
        <v>410.02136200000001</v>
      </c>
      <c r="AK23" s="41">
        <v>40.876246999999992</v>
      </c>
      <c r="AL23" s="41">
        <v>33.452864999999996</v>
      </c>
      <c r="AM23" s="41">
        <v>22.311807999999999</v>
      </c>
      <c r="AN23" s="42">
        <f t="shared" si="17"/>
        <v>590.05022700000006</v>
      </c>
      <c r="AO23" s="43">
        <f t="shared" si="3"/>
        <v>5.5404533910188049E-2</v>
      </c>
      <c r="AQ23" s="40">
        <v>45.581137833333337</v>
      </c>
      <c r="AR23" s="44">
        <f t="shared" si="18"/>
        <v>25.746391814798038</v>
      </c>
      <c r="AS23" s="44">
        <f t="shared" si="18"/>
        <v>19.834746018535295</v>
      </c>
      <c r="AT23" s="40">
        <v>37.297229000000002</v>
      </c>
      <c r="AU23" s="40">
        <v>41.964244000000001</v>
      </c>
      <c r="AV23" s="40">
        <v>26.984895999999999</v>
      </c>
      <c r="AW23" s="40">
        <f t="shared" si="4"/>
        <v>49.038615992539683</v>
      </c>
      <c r="AX23" s="7"/>
      <c r="AY23" s="44">
        <v>11.95250114813137</v>
      </c>
      <c r="AZ23" s="44">
        <v>19.834746018535295</v>
      </c>
      <c r="BA23" s="44">
        <v>13.793890666666668</v>
      </c>
      <c r="BB23" s="44">
        <v>0</v>
      </c>
      <c r="BC23" s="7"/>
      <c r="BD23" s="38">
        <f t="shared" si="5"/>
        <v>1865.388896407414</v>
      </c>
      <c r="BE23" s="38">
        <f t="shared" si="6"/>
        <v>1115.9622288425198</v>
      </c>
      <c r="BF23" s="7"/>
      <c r="BG23" s="40">
        <v>5.5015133657362982</v>
      </c>
      <c r="BH23" s="44">
        <v>3.9056072155504991</v>
      </c>
      <c r="BI23" s="44">
        <v>7.573071277490377</v>
      </c>
      <c r="BJ23" s="38">
        <v>461.75485600018771</v>
      </c>
      <c r="BK23" s="38">
        <v>565.47483313847977</v>
      </c>
      <c r="BL23" s="38">
        <v>145.79998440589858</v>
      </c>
      <c r="BM23" s="40">
        <f t="shared" si="7"/>
        <v>5.9374209738310579</v>
      </c>
      <c r="BN23" s="7"/>
      <c r="BO23" s="39">
        <f t="shared" si="8"/>
        <v>278.6280433506131</v>
      </c>
      <c r="BP23" s="39">
        <f t="shared" si="22"/>
        <v>44.886297895778277</v>
      </c>
      <c r="BQ23" s="40">
        <f t="shared" si="23"/>
        <v>323.51434124639138</v>
      </c>
      <c r="BS23" s="41">
        <v>0</v>
      </c>
      <c r="BT23" s="41">
        <v>0</v>
      </c>
      <c r="BU23" s="41">
        <v>0</v>
      </c>
      <c r="BV23" s="41">
        <v>3.0540000000000003E-3</v>
      </c>
      <c r="BW23" s="41">
        <v>0</v>
      </c>
      <c r="BX23" s="41">
        <v>0</v>
      </c>
      <c r="BY23" s="42">
        <f t="shared" si="9"/>
        <v>3.0540000000000003E-3</v>
      </c>
      <c r="BZ23" s="41">
        <v>0</v>
      </c>
      <c r="CA23" s="41">
        <v>199.11009899999999</v>
      </c>
      <c r="CB23" s="41">
        <v>0</v>
      </c>
      <c r="CC23" s="41">
        <v>10.706441999999999</v>
      </c>
      <c r="CD23" s="41">
        <v>15.84778</v>
      </c>
      <c r="CE23" s="41">
        <v>0</v>
      </c>
      <c r="CF23" s="42">
        <f t="shared" si="19"/>
        <v>225.664321</v>
      </c>
      <c r="CG23" s="7"/>
      <c r="CH23" s="41">
        <v>0</v>
      </c>
      <c r="CI23" s="41">
        <v>0</v>
      </c>
      <c r="CJ23" s="41">
        <v>0</v>
      </c>
      <c r="CK23" s="41">
        <v>0</v>
      </c>
      <c r="CL23" s="41">
        <v>0</v>
      </c>
      <c r="CM23" s="42">
        <f t="shared" si="20"/>
        <v>0</v>
      </c>
      <c r="CN23" s="41">
        <v>0</v>
      </c>
      <c r="CO23" s="41">
        <v>0</v>
      </c>
      <c r="CP23" s="41">
        <v>120.26150581043161</v>
      </c>
      <c r="CQ23" s="41">
        <v>22.711740651298673</v>
      </c>
      <c r="CR23" s="41">
        <v>0</v>
      </c>
      <c r="CS23" s="42">
        <f t="shared" si="10"/>
        <v>7.3006822644811766</v>
      </c>
      <c r="CU23" s="64">
        <v>63.5768888510095</v>
      </c>
      <c r="CV23" s="64">
        <v>9.4016540589798012</v>
      </c>
      <c r="CW23" s="64">
        <v>3.0119506811546564</v>
      </c>
      <c r="CX23" s="65">
        <v>2.4895064088560717</v>
      </c>
      <c r="CY23" s="66">
        <v>78.480000000000032</v>
      </c>
      <c r="DA23" s="42">
        <v>3717.9514305555567</v>
      </c>
      <c r="DB23" s="40">
        <v>82.676242639097623</v>
      </c>
      <c r="DD23" s="42">
        <v>2197.9368104104956</v>
      </c>
      <c r="DE23" s="39">
        <f t="shared" si="21"/>
        <v>51.779148055646409</v>
      </c>
      <c r="DF23" s="55">
        <f t="shared" si="11"/>
        <v>0.65977507716165118</v>
      </c>
      <c r="DH23" s="39"/>
      <c r="DI23" s="42"/>
      <c r="DK23" s="42"/>
      <c r="DL23" s="42"/>
      <c r="DN23" s="41"/>
      <c r="DO23" s="41"/>
      <c r="DQ23" s="39"/>
      <c r="DR23" s="39"/>
      <c r="DT23" s="56"/>
      <c r="DU23" s="56"/>
      <c r="DV23" s="55"/>
      <c r="DX23" s="39"/>
      <c r="DY23" s="39"/>
      <c r="DZ23" s="39"/>
      <c r="EA23" s="39"/>
      <c r="EB23" s="39"/>
      <c r="EC23" s="39"/>
      <c r="ED23" s="39"/>
      <c r="EE23" s="42"/>
      <c r="EF23" s="39"/>
      <c r="EG23" s="39"/>
      <c r="EH23" s="39"/>
      <c r="EI23" s="42"/>
      <c r="EJ23" s="39"/>
      <c r="EK23" s="39"/>
      <c r="EL23" s="39"/>
      <c r="EM23" s="39"/>
      <c r="EN23" s="42"/>
      <c r="EO23" s="39"/>
      <c r="EP23" s="71">
        <f t="shared" si="12"/>
        <v>11073.610656999999</v>
      </c>
    </row>
    <row r="24" spans="1:146" x14ac:dyDescent="0.4">
      <c r="A24" s="26">
        <f t="shared" si="13"/>
        <v>2019</v>
      </c>
      <c r="B24" s="27">
        <v>43647</v>
      </c>
      <c r="C24" s="28">
        <f t="shared" si="14"/>
        <v>31</v>
      </c>
      <c r="D24" s="29">
        <v>42.337548387096994</v>
      </c>
      <c r="E24" s="29">
        <v>43.869199999999999</v>
      </c>
      <c r="F24" s="29">
        <v>57.35</v>
      </c>
      <c r="G24" s="29">
        <v>63.92</v>
      </c>
      <c r="H24" s="7"/>
      <c r="I24" s="30">
        <v>11.729032258064517</v>
      </c>
      <c r="J24" s="29">
        <v>20.6</v>
      </c>
      <c r="K24" s="29">
        <v>6.1</v>
      </c>
      <c r="L24" s="30">
        <v>11.100000000000001</v>
      </c>
      <c r="M24" s="22"/>
      <c r="N24" s="31">
        <v>5807.8299000000015</v>
      </c>
      <c r="O24" s="31">
        <v>3162.5066489999999</v>
      </c>
      <c r="P24" s="32">
        <f t="shared" si="15"/>
        <v>8970.3365490000015</v>
      </c>
      <c r="Q24" s="31">
        <v>1094.9011419999999</v>
      </c>
      <c r="R24" s="31">
        <v>360.39651700000007</v>
      </c>
      <c r="S24" s="31">
        <v>1578.5759789999995</v>
      </c>
      <c r="T24" s="31"/>
      <c r="U24" s="32">
        <f t="shared" si="16"/>
        <v>3033.8736379999996</v>
      </c>
      <c r="V24" s="32">
        <f t="shared" si="0"/>
        <v>12004.210187000001</v>
      </c>
      <c r="W24" s="33">
        <v>3.5220000000000004E-3</v>
      </c>
      <c r="X24" s="32">
        <f t="shared" si="1"/>
        <v>12004.213709000001</v>
      </c>
      <c r="Z24" s="32">
        <v>23859</v>
      </c>
      <c r="AB24" s="34">
        <v>7873.2842810000002</v>
      </c>
      <c r="AC24" s="34">
        <v>736.65567699999997</v>
      </c>
      <c r="AD24" s="34">
        <v>3714.4387079999997</v>
      </c>
      <c r="AE24" s="34">
        <v>120.15433299999999</v>
      </c>
      <c r="AF24" s="32">
        <f t="shared" si="2"/>
        <v>12444.532999000001</v>
      </c>
      <c r="AH24" s="31">
        <v>3103.1280389999993</v>
      </c>
      <c r="AI24" s="31">
        <v>78.743356000000006</v>
      </c>
      <c r="AJ24" s="31">
        <v>421.43058200000007</v>
      </c>
      <c r="AK24" s="31">
        <v>54.101097000000003</v>
      </c>
      <c r="AL24" s="31">
        <v>33.195595000000004</v>
      </c>
      <c r="AM24" s="31">
        <v>23.840039000000001</v>
      </c>
      <c r="AN24" s="32">
        <f t="shared" si="17"/>
        <v>611.31066900000019</v>
      </c>
      <c r="AO24" s="35">
        <f t="shared" si="3"/>
        <v>5.0924688878075552E-2</v>
      </c>
      <c r="AQ24" s="30">
        <v>48.016344322580679</v>
      </c>
      <c r="AR24" s="36">
        <f t="shared" si="18"/>
        <v>28.56385615433333</v>
      </c>
      <c r="AS24" s="36">
        <f t="shared" si="18"/>
        <v>19.452488168247349</v>
      </c>
      <c r="AT24" s="30">
        <v>57.904398999999998</v>
      </c>
      <c r="AU24" s="30">
        <v>115.83002000000003</v>
      </c>
      <c r="AV24" s="30">
        <v>58.741313999999996</v>
      </c>
      <c r="AW24" s="30">
        <f t="shared" si="4"/>
        <v>55.230199074500803</v>
      </c>
      <c r="AX24" s="7"/>
      <c r="AY24" s="36">
        <v>14.80647228336559</v>
      </c>
      <c r="AZ24" s="36">
        <v>19.452488168247349</v>
      </c>
      <c r="BA24" s="36">
        <v>13.75738387096774</v>
      </c>
      <c r="BB24" s="36">
        <v>0</v>
      </c>
      <c r="BC24" s="7"/>
      <c r="BD24" s="32">
        <f t="shared" si="5"/>
        <v>1826.6765590703822</v>
      </c>
      <c r="BE24" s="32">
        <f t="shared" si="6"/>
        <v>1155.683691799097</v>
      </c>
      <c r="BF24" s="7"/>
      <c r="BG24" s="30">
        <v>5.7392845917422264</v>
      </c>
      <c r="BH24" s="36">
        <v>4.0606583540873009</v>
      </c>
      <c r="BI24" s="36">
        <v>8.2041640444145862</v>
      </c>
      <c r="BJ24" s="28">
        <v>455.27203545526538</v>
      </c>
      <c r="BK24" s="28">
        <v>564.44286282502367</v>
      </c>
      <c r="BL24" s="28">
        <v>145.79998440589858</v>
      </c>
      <c r="BM24" s="30">
        <f t="shared" si="7"/>
        <v>6.5714573669847418</v>
      </c>
      <c r="BN24" s="7"/>
      <c r="BO24" s="29">
        <f t="shared" si="8"/>
        <v>316.40605254791393</v>
      </c>
      <c r="BP24" s="29">
        <f t="shared" si="22"/>
        <v>100.3061643496056</v>
      </c>
      <c r="BQ24" s="30">
        <f t="shared" si="23"/>
        <v>416.71221689751951</v>
      </c>
      <c r="BS24" s="31">
        <v>0</v>
      </c>
      <c r="BT24" s="31">
        <v>0</v>
      </c>
      <c r="BU24" s="31">
        <v>0</v>
      </c>
      <c r="BV24" s="31">
        <v>3.5220000000000004E-3</v>
      </c>
      <c r="BW24" s="31">
        <v>0</v>
      </c>
      <c r="BX24" s="31">
        <v>0</v>
      </c>
      <c r="BY24" s="32">
        <f t="shared" si="9"/>
        <v>3.5220000000000004E-3</v>
      </c>
      <c r="BZ24" s="31">
        <v>0</v>
      </c>
      <c r="CA24" s="31">
        <v>11.419570999999996</v>
      </c>
      <c r="CB24" s="31">
        <v>0</v>
      </c>
      <c r="CC24" s="31">
        <v>10.131611999999999</v>
      </c>
      <c r="CD24" s="31">
        <v>98.603149999999999</v>
      </c>
      <c r="CE24" s="31">
        <v>0</v>
      </c>
      <c r="CF24" s="32">
        <f t="shared" si="19"/>
        <v>120.15433299999999</v>
      </c>
      <c r="CG24" s="7"/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2">
        <f t="shared" si="20"/>
        <v>0</v>
      </c>
      <c r="CN24" s="31">
        <v>0</v>
      </c>
      <c r="CO24" s="31">
        <v>0</v>
      </c>
      <c r="CP24" s="31">
        <v>120.01586534516248</v>
      </c>
      <c r="CQ24" s="31">
        <v>27.998030371190463</v>
      </c>
      <c r="CR24" s="31">
        <v>0</v>
      </c>
      <c r="CS24" s="32">
        <f t="shared" si="10"/>
        <v>33.096169489921614</v>
      </c>
      <c r="CU24" s="61">
        <v>62.996150794659719</v>
      </c>
      <c r="CV24" s="61">
        <v>9.9361102300284667</v>
      </c>
      <c r="CW24" s="61">
        <v>4.4732177849459491</v>
      </c>
      <c r="CX24" s="62">
        <v>2.3445211903658665</v>
      </c>
      <c r="CY24" s="63">
        <v>79.75</v>
      </c>
      <c r="DA24" s="32">
        <v>3708.3414516129046</v>
      </c>
      <c r="DB24" s="30">
        <v>87.491789855084974</v>
      </c>
      <c r="DD24" s="50">
        <v>2170.11024660974</v>
      </c>
      <c r="DE24" s="29">
        <f t="shared" si="21"/>
        <v>49.467741527307084</v>
      </c>
      <c r="DF24" s="51">
        <f t="shared" si="11"/>
        <v>0.62028516021701674</v>
      </c>
      <c r="DH24" s="33"/>
      <c r="DI24" s="32"/>
      <c r="DK24" s="50"/>
      <c r="DL24" s="50"/>
      <c r="DN24" s="31"/>
      <c r="DO24" s="31"/>
      <c r="DQ24" s="29"/>
      <c r="DR24" s="29"/>
      <c r="DT24" s="54"/>
      <c r="DU24" s="54"/>
      <c r="DV24" s="51"/>
      <c r="DX24" s="33"/>
      <c r="DY24" s="33"/>
      <c r="DZ24" s="33"/>
      <c r="EA24" s="33"/>
      <c r="EB24" s="33"/>
      <c r="EC24" s="33"/>
      <c r="ED24" s="33"/>
      <c r="EE24" s="32"/>
      <c r="EF24" s="33"/>
      <c r="EG24" s="33"/>
      <c r="EH24" s="33"/>
      <c r="EI24" s="32"/>
      <c r="EJ24" s="33"/>
      <c r="EK24" s="33"/>
      <c r="EL24" s="33"/>
      <c r="EM24" s="33"/>
      <c r="EN24" s="32"/>
      <c r="EO24" s="32"/>
      <c r="EP24" s="70">
        <f t="shared" si="12"/>
        <v>12444.532999000001</v>
      </c>
    </row>
    <row r="25" spans="1:146" x14ac:dyDescent="0.4">
      <c r="A25" s="22">
        <f t="shared" si="13"/>
        <v>2019</v>
      </c>
      <c r="B25" s="37">
        <v>43678</v>
      </c>
      <c r="C25" s="38">
        <f t="shared" si="14"/>
        <v>31</v>
      </c>
      <c r="D25" s="39">
        <v>44.38767741935434</v>
      </c>
      <c r="E25" s="39">
        <v>59.075000000000003</v>
      </c>
      <c r="F25" s="39">
        <v>54.81</v>
      </c>
      <c r="G25" s="39">
        <v>59.04</v>
      </c>
      <c r="H25" s="7"/>
      <c r="I25" s="40">
        <v>12.877419354838715</v>
      </c>
      <c r="J25" s="39">
        <v>21.25</v>
      </c>
      <c r="K25" s="39">
        <v>6.1</v>
      </c>
      <c r="L25" s="40">
        <v>12.5</v>
      </c>
      <c r="M25" s="22"/>
      <c r="N25" s="41">
        <v>5201.899285999998</v>
      </c>
      <c r="O25" s="41">
        <v>3123.856104</v>
      </c>
      <c r="P25" s="42">
        <f t="shared" si="15"/>
        <v>8325.7553899999984</v>
      </c>
      <c r="Q25" s="41">
        <v>1082.8364379999998</v>
      </c>
      <c r="R25" s="41">
        <v>359.70537300000001</v>
      </c>
      <c r="S25" s="41">
        <v>1697.186098000001</v>
      </c>
      <c r="T25" s="41"/>
      <c r="U25" s="42">
        <f t="shared" si="16"/>
        <v>3139.7279090000011</v>
      </c>
      <c r="V25" s="42">
        <f t="shared" si="0"/>
        <v>11465.483299</v>
      </c>
      <c r="W25" s="39">
        <v>0</v>
      </c>
      <c r="X25" s="42">
        <f t="shared" si="1"/>
        <v>11465.483299</v>
      </c>
      <c r="Z25" s="42">
        <v>23365</v>
      </c>
      <c r="AB25" s="41">
        <v>6818.6972660000001</v>
      </c>
      <c r="AC25" s="41">
        <v>865.72944299999995</v>
      </c>
      <c r="AD25" s="41">
        <v>3899.4625120000001</v>
      </c>
      <c r="AE25" s="41">
        <v>350.301422</v>
      </c>
      <c r="AF25" s="42">
        <f t="shared" si="2"/>
        <v>11934.190643000002</v>
      </c>
      <c r="AH25" s="41">
        <v>3221.215181</v>
      </c>
      <c r="AI25" s="41">
        <v>106.31729300000002</v>
      </c>
      <c r="AJ25" s="41">
        <v>447.98975499999989</v>
      </c>
      <c r="AK25" s="41">
        <v>67.038701000000017</v>
      </c>
      <c r="AL25" s="41">
        <v>33.447184999999998</v>
      </c>
      <c r="AM25" s="41">
        <v>23.454396999999997</v>
      </c>
      <c r="AN25" s="42">
        <f t="shared" si="17"/>
        <v>678.24733099999992</v>
      </c>
      <c r="AO25" s="43">
        <f t="shared" si="3"/>
        <v>5.9155581436253588E-2</v>
      </c>
      <c r="AQ25" s="40">
        <v>45.292898838709711</v>
      </c>
      <c r="AR25" s="44">
        <f t="shared" si="18"/>
        <v>32.948617773697961</v>
      </c>
      <c r="AS25" s="44">
        <f t="shared" si="18"/>
        <v>12.344281065011751</v>
      </c>
      <c r="AT25" s="40">
        <v>23.440300000000004</v>
      </c>
      <c r="AU25" s="40">
        <v>50.709481999999987</v>
      </c>
      <c r="AV25" s="40">
        <v>0</v>
      </c>
      <c r="AW25" s="40">
        <f t="shared" si="4"/>
        <v>47.845903045929376</v>
      </c>
      <c r="AX25" s="7"/>
      <c r="AY25" s="44">
        <v>16.282863257568927</v>
      </c>
      <c r="AZ25" s="44">
        <v>12.344281065011751</v>
      </c>
      <c r="BA25" s="44">
        <v>16.665754516129034</v>
      </c>
      <c r="BB25" s="44">
        <v>0</v>
      </c>
      <c r="BC25" s="7"/>
      <c r="BD25" s="38">
        <f t="shared" si="5"/>
        <v>1827.1925951727696</v>
      </c>
      <c r="BE25" s="38">
        <f t="shared" si="6"/>
        <v>1043.9814081961124</v>
      </c>
      <c r="BF25" s="7"/>
      <c r="BG25" s="40">
        <v>4.8489939795183563</v>
      </c>
      <c r="BH25" s="44">
        <v>3.8942499562220845</v>
      </c>
      <c r="BI25" s="44">
        <v>7.3973397057408068</v>
      </c>
      <c r="BJ25" s="38">
        <v>425.08049322359653</v>
      </c>
      <c r="BK25" s="38">
        <v>552.98494881047793</v>
      </c>
      <c r="BL25" s="38">
        <v>145.79998440589858</v>
      </c>
      <c r="BM25" s="40">
        <f t="shared" si="7"/>
        <v>5.2820957406752829</v>
      </c>
      <c r="BN25" s="7"/>
      <c r="BO25" s="39">
        <f t="shared" si="8"/>
        <v>252.1620298999614</v>
      </c>
      <c r="BP25" s="39">
        <f t="shared" si="22"/>
        <v>38.005594593284911</v>
      </c>
      <c r="BQ25" s="40">
        <f t="shared" si="23"/>
        <v>290.16762449324631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2">
        <f t="shared" si="9"/>
        <v>0</v>
      </c>
      <c r="BZ25" s="41">
        <v>0</v>
      </c>
      <c r="CA25" s="41">
        <v>0</v>
      </c>
      <c r="CB25" s="41">
        <v>0</v>
      </c>
      <c r="CC25" s="41">
        <v>8.9465520000000005</v>
      </c>
      <c r="CD25" s="41">
        <v>341.35487000000001</v>
      </c>
      <c r="CE25" s="41">
        <v>0</v>
      </c>
      <c r="CF25" s="42">
        <f t="shared" si="19"/>
        <v>350.301422</v>
      </c>
      <c r="CG25" s="7"/>
      <c r="CH25" s="41">
        <v>0</v>
      </c>
      <c r="CI25" s="41">
        <v>0</v>
      </c>
      <c r="CJ25" s="41">
        <v>0</v>
      </c>
      <c r="CK25" s="41">
        <v>0</v>
      </c>
      <c r="CL25" s="41">
        <v>0</v>
      </c>
      <c r="CM25" s="42">
        <f t="shared" si="20"/>
        <v>0</v>
      </c>
      <c r="CN25" s="41">
        <v>0</v>
      </c>
      <c r="CO25" s="41">
        <v>0</v>
      </c>
      <c r="CP25" s="41">
        <v>119.99999999999977</v>
      </c>
      <c r="CQ25" s="41">
        <v>27.998972003453193</v>
      </c>
      <c r="CR25" s="41">
        <v>0</v>
      </c>
      <c r="CS25" s="42">
        <f t="shared" si="10"/>
        <v>30.348639830449798</v>
      </c>
      <c r="CU25" s="64">
        <v>53.398445868580282</v>
      </c>
      <c r="CV25" s="64">
        <v>11.361100382693079</v>
      </c>
      <c r="CW25" s="64">
        <v>2.6914751222401905</v>
      </c>
      <c r="CX25" s="65">
        <v>1.7789786264864471</v>
      </c>
      <c r="CY25" s="66">
        <v>69.23</v>
      </c>
      <c r="DA25" s="42">
        <v>2936.840336021507</v>
      </c>
      <c r="DB25" s="40">
        <v>66.003580370785116</v>
      </c>
      <c r="DD25" s="42">
        <v>2243.5587050637478</v>
      </c>
      <c r="DE25" s="39">
        <f t="shared" si="21"/>
        <v>37.978141431464202</v>
      </c>
      <c r="DF25" s="55">
        <f t="shared" si="11"/>
        <v>0.5485792493350311</v>
      </c>
      <c r="DH25" s="39"/>
      <c r="DI25" s="42"/>
      <c r="DK25" s="42"/>
      <c r="DL25" s="42"/>
      <c r="DN25" s="41"/>
      <c r="DO25" s="41"/>
      <c r="DQ25" s="39"/>
      <c r="DR25" s="39"/>
      <c r="DT25" s="56"/>
      <c r="DU25" s="56"/>
      <c r="DV25" s="55"/>
      <c r="DX25" s="39"/>
      <c r="DY25" s="39"/>
      <c r="DZ25" s="39"/>
      <c r="EA25" s="39"/>
      <c r="EB25" s="39"/>
      <c r="EC25" s="39"/>
      <c r="ED25" s="39"/>
      <c r="EE25" s="42"/>
      <c r="EF25" s="39"/>
      <c r="EG25" s="39"/>
      <c r="EH25" s="39"/>
      <c r="EI25" s="42"/>
      <c r="EJ25" s="39"/>
      <c r="EK25" s="39"/>
      <c r="EL25" s="39"/>
      <c r="EM25" s="39"/>
      <c r="EN25" s="42"/>
      <c r="EO25" s="39"/>
      <c r="EP25" s="71">
        <f t="shared" si="12"/>
        <v>11934.190643000002</v>
      </c>
    </row>
    <row r="26" spans="1:146" x14ac:dyDescent="0.4">
      <c r="A26" s="26">
        <f t="shared" si="13"/>
        <v>2019</v>
      </c>
      <c r="B26" s="27">
        <v>43709</v>
      </c>
      <c r="C26" s="28">
        <f t="shared" si="14"/>
        <v>30</v>
      </c>
      <c r="D26" s="29">
        <v>55.341933333332818</v>
      </c>
      <c r="E26" s="29">
        <v>57.558300000000003</v>
      </c>
      <c r="F26" s="29">
        <v>56.947000000000003</v>
      </c>
      <c r="G26" s="29">
        <v>62.826000000000001</v>
      </c>
      <c r="H26" s="7"/>
      <c r="I26" s="30">
        <v>15.395</v>
      </c>
      <c r="J26" s="29">
        <v>23.1</v>
      </c>
      <c r="K26" s="29">
        <v>8.3000000000000007</v>
      </c>
      <c r="L26" s="30">
        <v>14.5</v>
      </c>
      <c r="M26" s="22"/>
      <c r="N26" s="31">
        <v>4267.4763369999937</v>
      </c>
      <c r="O26" s="31">
        <v>2941.0349809999993</v>
      </c>
      <c r="P26" s="32">
        <f t="shared" si="15"/>
        <v>7208.5113179999935</v>
      </c>
      <c r="Q26" s="31">
        <v>993.50296899999989</v>
      </c>
      <c r="R26" s="31">
        <v>341.38534200000015</v>
      </c>
      <c r="S26" s="31">
        <v>1674.6881939999994</v>
      </c>
      <c r="T26" s="31"/>
      <c r="U26" s="32">
        <f t="shared" si="16"/>
        <v>3009.5765049999995</v>
      </c>
      <c r="V26" s="32">
        <f t="shared" si="0"/>
        <v>10218.087822999993</v>
      </c>
      <c r="W26" s="33">
        <v>93.034077000000011</v>
      </c>
      <c r="X26" s="32">
        <f t="shared" si="1"/>
        <v>10311.121899999993</v>
      </c>
      <c r="Z26" s="32">
        <v>22079</v>
      </c>
      <c r="AB26" s="34">
        <v>6039.5303350000004</v>
      </c>
      <c r="AC26" s="34">
        <v>873.87535500000001</v>
      </c>
      <c r="AD26" s="34">
        <v>3708.965263</v>
      </c>
      <c r="AE26" s="34">
        <v>69.857275999999999</v>
      </c>
      <c r="AF26" s="32">
        <f t="shared" si="2"/>
        <v>10692.228229000002</v>
      </c>
      <c r="AH26" s="31">
        <v>2899.6607309999999</v>
      </c>
      <c r="AI26" s="31">
        <v>135.13141500000003</v>
      </c>
      <c r="AJ26" s="31">
        <v>529.8788340000001</v>
      </c>
      <c r="AK26" s="31">
        <v>85.596041999999983</v>
      </c>
      <c r="AL26" s="31">
        <v>36.775269000000002</v>
      </c>
      <c r="AM26" s="31">
        <v>21.922972000000001</v>
      </c>
      <c r="AN26" s="32">
        <f t="shared" si="17"/>
        <v>809.30453200000011</v>
      </c>
      <c r="AO26" s="35">
        <f t="shared" si="3"/>
        <v>7.9203129393576821E-2</v>
      </c>
      <c r="AQ26" s="30">
        <v>41.929636433333357</v>
      </c>
      <c r="AR26" s="36">
        <f t="shared" si="18"/>
        <v>33.972992156709878</v>
      </c>
      <c r="AS26" s="36">
        <f t="shared" si="18"/>
        <v>7.9566442766234768</v>
      </c>
      <c r="AT26" s="30">
        <v>24.00585400000001</v>
      </c>
      <c r="AU26" s="30">
        <v>38.302273</v>
      </c>
      <c r="AV26" s="30">
        <v>37.580842000000004</v>
      </c>
      <c r="AW26" s="30">
        <f t="shared" si="4"/>
        <v>44.972602379127011</v>
      </c>
      <c r="AX26" s="7"/>
      <c r="AY26" s="36">
        <v>14.821340823376545</v>
      </c>
      <c r="AZ26" s="36">
        <v>7.9566442766234768</v>
      </c>
      <c r="BA26" s="36">
        <v>19.151651333333334</v>
      </c>
      <c r="BB26" s="36">
        <v>0</v>
      </c>
      <c r="BC26" s="7"/>
      <c r="BD26" s="32">
        <f t="shared" si="5"/>
        <v>1876.4862780575813</v>
      </c>
      <c r="BE26" s="32">
        <f t="shared" si="6"/>
        <v>1059.9377002449137</v>
      </c>
      <c r="BF26" s="7"/>
      <c r="BG26" s="30">
        <v>3.4439644109991141</v>
      </c>
      <c r="BH26" s="36">
        <v>2.7122630001620394</v>
      </c>
      <c r="BI26" s="36">
        <v>6.5681566492337984</v>
      </c>
      <c r="BJ26" s="28">
        <v>419.20904365001593</v>
      </c>
      <c r="BK26" s="28">
        <v>552.98624177327179</v>
      </c>
      <c r="BL26" s="28">
        <v>145.79998440589858</v>
      </c>
      <c r="BM26" s="30">
        <f t="shared" si="7"/>
        <v>3.9458518031010219</v>
      </c>
      <c r="BN26" s="7"/>
      <c r="BO26" s="29">
        <f t="shared" si="8"/>
        <v>160.44908404725768</v>
      </c>
      <c r="BP26" s="29">
        <f t="shared" si="22"/>
        <v>36.723387272546319</v>
      </c>
      <c r="BQ26" s="30">
        <f t="shared" si="23"/>
        <v>197.172471319804</v>
      </c>
      <c r="BS26" s="31">
        <v>0</v>
      </c>
      <c r="BT26" s="31">
        <v>93.034076999999982</v>
      </c>
      <c r="BU26" s="31">
        <v>0</v>
      </c>
      <c r="BV26" s="31">
        <v>0</v>
      </c>
      <c r="BW26" s="31">
        <v>0</v>
      </c>
      <c r="BX26" s="31">
        <v>0</v>
      </c>
      <c r="BY26" s="32">
        <f t="shared" si="9"/>
        <v>93.034076999999982</v>
      </c>
      <c r="BZ26" s="31">
        <v>0</v>
      </c>
      <c r="CA26" s="31">
        <v>0</v>
      </c>
      <c r="CB26" s="31">
        <v>0</v>
      </c>
      <c r="CC26" s="31">
        <v>9.8070959999999996</v>
      </c>
      <c r="CD26" s="31">
        <v>60.050179999999997</v>
      </c>
      <c r="CE26" s="31">
        <v>0</v>
      </c>
      <c r="CF26" s="32">
        <f t="shared" si="19"/>
        <v>69.857275999999999</v>
      </c>
      <c r="CG26" s="7"/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2">
        <f t="shared" si="20"/>
        <v>0</v>
      </c>
      <c r="CN26" s="31">
        <v>0</v>
      </c>
      <c r="CO26" s="31">
        <v>0</v>
      </c>
      <c r="CP26" s="31">
        <v>120.00006949475559</v>
      </c>
      <c r="CQ26" s="31">
        <v>27.940438973736391</v>
      </c>
      <c r="CR26" s="31">
        <v>0</v>
      </c>
      <c r="CS26" s="32">
        <f t="shared" si="10"/>
        <v>40.864470455355651</v>
      </c>
      <c r="CU26" s="61">
        <v>54.108321988902148</v>
      </c>
      <c r="CV26" s="61">
        <v>12.486344574434991</v>
      </c>
      <c r="CW26" s="61">
        <v>2.4873466888442581</v>
      </c>
      <c r="CX26" s="62">
        <v>1.9879867478185953</v>
      </c>
      <c r="CY26" s="63">
        <v>71.069999999999993</v>
      </c>
      <c r="DA26" s="32">
        <v>3379.2613194444411</v>
      </c>
      <c r="DB26" s="30">
        <v>61.116978869736613</v>
      </c>
      <c r="DD26" s="50">
        <v>2275.4898824133502</v>
      </c>
      <c r="DE26" s="29">
        <f t="shared" si="21"/>
        <v>39.533653398612365</v>
      </c>
      <c r="DF26" s="51">
        <f t="shared" si="11"/>
        <v>0.5562635908064214</v>
      </c>
      <c r="DH26" s="33"/>
      <c r="DI26" s="32"/>
      <c r="DK26" s="50"/>
      <c r="DL26" s="50"/>
      <c r="DN26" s="31"/>
      <c r="DO26" s="31"/>
      <c r="DQ26" s="29"/>
      <c r="DR26" s="29"/>
      <c r="DT26" s="54"/>
      <c r="DU26" s="54"/>
      <c r="DV26" s="51"/>
      <c r="DX26" s="33"/>
      <c r="DY26" s="33"/>
      <c r="DZ26" s="33"/>
      <c r="EA26" s="33"/>
      <c r="EB26" s="33"/>
      <c r="EC26" s="33"/>
      <c r="ED26" s="33"/>
      <c r="EE26" s="32"/>
      <c r="EF26" s="33"/>
      <c r="EG26" s="33"/>
      <c r="EH26" s="33"/>
      <c r="EI26" s="32"/>
      <c r="EJ26" s="33"/>
      <c r="EK26" s="33"/>
      <c r="EL26" s="33"/>
      <c r="EM26" s="33"/>
      <c r="EN26" s="32"/>
      <c r="EO26" s="32"/>
      <c r="EP26" s="70">
        <f t="shared" si="12"/>
        <v>10692.228229000002</v>
      </c>
    </row>
    <row r="27" spans="1:146" x14ac:dyDescent="0.4">
      <c r="A27" s="22">
        <f t="shared" si="13"/>
        <v>2019</v>
      </c>
      <c r="B27" s="37">
        <v>43739</v>
      </c>
      <c r="C27" s="38">
        <f t="shared" si="14"/>
        <v>31</v>
      </c>
      <c r="D27" s="39">
        <v>57.476709677419116</v>
      </c>
      <c r="E27" s="39">
        <v>59.726700000000001</v>
      </c>
      <c r="F27" s="39">
        <v>53.96</v>
      </c>
      <c r="G27" s="39">
        <v>59.71</v>
      </c>
      <c r="H27" s="7"/>
      <c r="I27" s="40">
        <v>17.503225806451614</v>
      </c>
      <c r="J27" s="39">
        <v>25.2</v>
      </c>
      <c r="K27" s="39">
        <v>10.65</v>
      </c>
      <c r="L27" s="40">
        <v>17.3</v>
      </c>
      <c r="M27" s="22"/>
      <c r="N27" s="41">
        <v>4222.2959570000012</v>
      </c>
      <c r="O27" s="41">
        <v>2974.9523529999997</v>
      </c>
      <c r="P27" s="42">
        <f t="shared" si="15"/>
        <v>7197.2483100000009</v>
      </c>
      <c r="Q27" s="41">
        <v>1037.4804360000001</v>
      </c>
      <c r="R27" s="41">
        <v>361.02894100000015</v>
      </c>
      <c r="S27" s="41">
        <v>1784.7745490000004</v>
      </c>
      <c r="T27" s="41"/>
      <c r="U27" s="42">
        <f t="shared" si="16"/>
        <v>3183.283926000001</v>
      </c>
      <c r="V27" s="42">
        <f t="shared" si="0"/>
        <v>10380.532236000003</v>
      </c>
      <c r="W27" s="39">
        <v>69.578813999999994</v>
      </c>
      <c r="X27" s="42">
        <f t="shared" si="1"/>
        <v>10450.111050000003</v>
      </c>
      <c r="Z27" s="42">
        <v>19908</v>
      </c>
      <c r="AB27" s="41">
        <v>6339.0452419999992</v>
      </c>
      <c r="AC27" s="41">
        <v>712.38724999999999</v>
      </c>
      <c r="AD27" s="41">
        <v>3541.673139</v>
      </c>
      <c r="AE27" s="41">
        <v>260.68392399999999</v>
      </c>
      <c r="AF27" s="42">
        <f t="shared" si="2"/>
        <v>10853.789554999999</v>
      </c>
      <c r="AH27" s="41">
        <v>2736.5740169999999</v>
      </c>
      <c r="AI27" s="41">
        <v>129.58976100000001</v>
      </c>
      <c r="AJ27" s="41">
        <v>521.65625100000011</v>
      </c>
      <c r="AK27" s="41">
        <v>96.457970000000003</v>
      </c>
      <c r="AL27" s="41">
        <v>34.422804000000006</v>
      </c>
      <c r="AM27" s="41">
        <v>22.972335999999999</v>
      </c>
      <c r="AN27" s="42">
        <f t="shared" si="17"/>
        <v>805.09912200000019</v>
      </c>
      <c r="AO27" s="43">
        <f t="shared" si="3"/>
        <v>7.7558559011829065E-2</v>
      </c>
      <c r="AQ27" s="40">
        <v>46.754038774193582</v>
      </c>
      <c r="AR27" s="44">
        <f t="shared" si="18"/>
        <v>42.255452034322829</v>
      </c>
      <c r="AS27" s="44">
        <f t="shared" si="18"/>
        <v>4.498586739870758</v>
      </c>
      <c r="AT27" s="40">
        <v>8.6113580000000027</v>
      </c>
      <c r="AU27" s="40">
        <v>27.56815000000001</v>
      </c>
      <c r="AV27" s="40">
        <v>9.0007610000000007</v>
      </c>
      <c r="AW27" s="40">
        <f t="shared" si="4"/>
        <v>48.173125351766544</v>
      </c>
      <c r="AX27" s="7"/>
      <c r="AY27" s="44">
        <v>12.944980744000244</v>
      </c>
      <c r="AZ27" s="44">
        <v>4.498586739870758</v>
      </c>
      <c r="BA27" s="44">
        <v>29.310471290322585</v>
      </c>
      <c r="BB27" s="44">
        <v>0</v>
      </c>
      <c r="BC27" s="7"/>
      <c r="BD27" s="38">
        <f t="shared" si="5"/>
        <v>1978.8913570905872</v>
      </c>
      <c r="BE27" s="38">
        <f t="shared" si="6"/>
        <v>1155.7513417810144</v>
      </c>
      <c r="BF27" s="7"/>
      <c r="BG27" s="40">
        <v>3.1466562874287365</v>
      </c>
      <c r="BH27" s="44">
        <v>2.6910918900917786</v>
      </c>
      <c r="BI27" s="44">
        <v>7.4257956379284114</v>
      </c>
      <c r="BJ27" s="38">
        <v>419.20904365001593</v>
      </c>
      <c r="BK27" s="38">
        <v>552.9862417732719</v>
      </c>
      <c r="BL27" s="38">
        <v>145.79998440589858</v>
      </c>
      <c r="BM27" s="40">
        <f t="shared" si="7"/>
        <v>3.4185816870001426</v>
      </c>
      <c r="BN27" s="7"/>
      <c r="BO27" s="39">
        <f t="shared" si="8"/>
        <v>168.91428119320733</v>
      </c>
      <c r="BP27" s="39">
        <f t="shared" si="22"/>
        <v>20.167077626290968</v>
      </c>
      <c r="BQ27" s="40">
        <f t="shared" si="23"/>
        <v>189.08135881949829</v>
      </c>
      <c r="BS27" s="41">
        <v>0</v>
      </c>
      <c r="BT27" s="41">
        <v>69.578813999999994</v>
      </c>
      <c r="BU27" s="41">
        <v>0</v>
      </c>
      <c r="BV27" s="41">
        <v>0</v>
      </c>
      <c r="BW27" s="41">
        <v>0</v>
      </c>
      <c r="BX27" s="41">
        <v>0</v>
      </c>
      <c r="BY27" s="42">
        <f t="shared" si="9"/>
        <v>69.578813999999994</v>
      </c>
      <c r="BZ27" s="41">
        <v>0</v>
      </c>
      <c r="CA27" s="41">
        <v>0.49122000000000005</v>
      </c>
      <c r="CB27" s="41">
        <v>0</v>
      </c>
      <c r="CC27" s="41">
        <v>12.093624</v>
      </c>
      <c r="CD27" s="41">
        <v>248.09907999999999</v>
      </c>
      <c r="CE27" s="41">
        <v>0</v>
      </c>
      <c r="CF27" s="42">
        <f t="shared" si="19"/>
        <v>260.68392399999999</v>
      </c>
      <c r="CG27" s="7"/>
      <c r="CH27" s="41">
        <v>0</v>
      </c>
      <c r="CI27" s="41">
        <v>0</v>
      </c>
      <c r="CJ27" s="41">
        <v>0</v>
      </c>
      <c r="CK27" s="41">
        <v>0</v>
      </c>
      <c r="CL27" s="41">
        <v>0</v>
      </c>
      <c r="CM27" s="42">
        <f t="shared" si="20"/>
        <v>0</v>
      </c>
      <c r="CN27" s="41">
        <v>8.0366067437176287</v>
      </c>
      <c r="CO27" s="41">
        <v>0</v>
      </c>
      <c r="CP27" s="41">
        <v>120.00010045758448</v>
      </c>
      <c r="CQ27" s="41">
        <v>25.959085503173849</v>
      </c>
      <c r="CR27" s="41">
        <v>0</v>
      </c>
      <c r="CS27" s="42">
        <f t="shared" si="10"/>
        <v>30.272911366314343</v>
      </c>
      <c r="CU27" s="64">
        <v>53.911599352318937</v>
      </c>
      <c r="CV27" s="64">
        <v>8.6589414784342686</v>
      </c>
      <c r="CW27" s="64">
        <v>2.1655306588175809</v>
      </c>
      <c r="CX27" s="65">
        <v>1.9839285104292097</v>
      </c>
      <c r="CY27" s="66">
        <v>66.72</v>
      </c>
      <c r="DA27" s="42">
        <v>2981.5962768817099</v>
      </c>
      <c r="DB27" s="40">
        <v>51.902224797601534</v>
      </c>
      <c r="DD27" s="42">
        <v>2274.1241320661729</v>
      </c>
      <c r="DE27" s="39">
        <f t="shared" si="21"/>
        <v>38.075502782945868</v>
      </c>
      <c r="DF27" s="55">
        <f t="shared" si="11"/>
        <v>0.57067600094343329</v>
      </c>
      <c r="DH27" s="39"/>
      <c r="DI27" s="42"/>
      <c r="DK27" s="42"/>
      <c r="DL27" s="42"/>
      <c r="DN27" s="41"/>
      <c r="DO27" s="41"/>
      <c r="DQ27" s="39"/>
      <c r="DR27" s="39"/>
      <c r="DT27" s="56"/>
      <c r="DU27" s="56"/>
      <c r="DV27" s="55"/>
      <c r="DX27" s="39"/>
      <c r="DY27" s="39"/>
      <c r="DZ27" s="39"/>
      <c r="EA27" s="39"/>
      <c r="EB27" s="39"/>
      <c r="EC27" s="39"/>
      <c r="ED27" s="39"/>
      <c r="EE27" s="42"/>
      <c r="EF27" s="39"/>
      <c r="EG27" s="39"/>
      <c r="EH27" s="39"/>
      <c r="EI27" s="42"/>
      <c r="EJ27" s="39"/>
      <c r="EK27" s="39"/>
      <c r="EL27" s="39"/>
      <c r="EM27" s="39"/>
      <c r="EN27" s="42"/>
      <c r="EO27" s="39"/>
      <c r="EP27" s="71">
        <f t="shared" si="12"/>
        <v>10853.789554999999</v>
      </c>
    </row>
    <row r="28" spans="1:146" x14ac:dyDescent="0.4">
      <c r="A28" s="26">
        <f t="shared" si="13"/>
        <v>2019</v>
      </c>
      <c r="B28" s="27">
        <v>43770</v>
      </c>
      <c r="C28" s="28">
        <f t="shared" si="14"/>
        <v>30</v>
      </c>
      <c r="D28" s="29">
        <v>59.428933333332935</v>
      </c>
      <c r="E28" s="29">
        <v>59.863300000000002</v>
      </c>
      <c r="F28" s="29">
        <v>57.03</v>
      </c>
      <c r="G28" s="29">
        <v>63.21</v>
      </c>
      <c r="H28" s="7"/>
      <c r="I28" s="30">
        <v>22.733333333333338</v>
      </c>
      <c r="J28" s="29">
        <v>29.3</v>
      </c>
      <c r="K28" s="29">
        <v>17.5</v>
      </c>
      <c r="L28" s="30">
        <v>20.3</v>
      </c>
      <c r="M28" s="22"/>
      <c r="N28" s="31">
        <v>4378.763829999999</v>
      </c>
      <c r="O28" s="31">
        <v>3106.0838510000003</v>
      </c>
      <c r="P28" s="32">
        <f t="shared" si="15"/>
        <v>7484.8476809999993</v>
      </c>
      <c r="Q28" s="31">
        <v>1038.847045</v>
      </c>
      <c r="R28" s="31">
        <v>386.57603899999998</v>
      </c>
      <c r="S28" s="31">
        <v>1649.6953899999996</v>
      </c>
      <c r="T28" s="31"/>
      <c r="U28" s="32">
        <f t="shared" si="16"/>
        <v>3075.1184739999999</v>
      </c>
      <c r="V28" s="32">
        <f t="shared" si="0"/>
        <v>10559.966154999998</v>
      </c>
      <c r="W28" s="33">
        <v>49.781165000000001</v>
      </c>
      <c r="X28" s="32">
        <f t="shared" si="1"/>
        <v>10609.747319999999</v>
      </c>
      <c r="Z28" s="32">
        <v>23674</v>
      </c>
      <c r="AB28" s="34">
        <v>6147.451967</v>
      </c>
      <c r="AC28" s="34">
        <v>761.16270999999995</v>
      </c>
      <c r="AD28" s="34">
        <v>3732.6844449999999</v>
      </c>
      <c r="AE28" s="34">
        <v>366.81305400000002</v>
      </c>
      <c r="AF28" s="32">
        <f t="shared" si="2"/>
        <v>11008.112176000001</v>
      </c>
      <c r="AH28" s="31">
        <v>2874.8074679999995</v>
      </c>
      <c r="AI28" s="31">
        <v>127.914165</v>
      </c>
      <c r="AJ28" s="31">
        <v>568.56825700000013</v>
      </c>
      <c r="AK28" s="31">
        <v>109.224856</v>
      </c>
      <c r="AL28" s="31">
        <v>30.236201999999999</v>
      </c>
      <c r="AM28" s="31">
        <v>21.933497000000003</v>
      </c>
      <c r="AN28" s="32">
        <f t="shared" si="17"/>
        <v>857.87697700000024</v>
      </c>
      <c r="AO28" s="35">
        <f t="shared" si="3"/>
        <v>8.1238610465982158E-2</v>
      </c>
      <c r="AQ28" s="30">
        <v>45.556183233333329</v>
      </c>
      <c r="AR28" s="36">
        <f t="shared" si="18"/>
        <v>40.592300283036955</v>
      </c>
      <c r="AS28" s="36">
        <f t="shared" si="18"/>
        <v>4.9638829502963766</v>
      </c>
      <c r="AT28" s="30">
        <v>1.5199790000000004</v>
      </c>
      <c r="AU28" s="30">
        <v>30.350508999999995</v>
      </c>
      <c r="AV28" s="30">
        <v>3.3186360000000001</v>
      </c>
      <c r="AW28" s="30">
        <f t="shared" si="4"/>
        <v>46.719769724682536</v>
      </c>
      <c r="AX28" s="7"/>
      <c r="AY28" s="36">
        <v>10.404943616370286</v>
      </c>
      <c r="AZ28" s="36">
        <v>4.9638829502963766</v>
      </c>
      <c r="BA28" s="36">
        <v>30.18735666666667</v>
      </c>
      <c r="BB28" s="36">
        <v>0</v>
      </c>
      <c r="BC28" s="7"/>
      <c r="BD28" s="32">
        <f t="shared" si="5"/>
        <v>1915.1645322030051</v>
      </c>
      <c r="BE28" s="32">
        <f t="shared" si="6"/>
        <v>1069.5187133256552</v>
      </c>
      <c r="BF28" s="7"/>
      <c r="BG28" s="30">
        <v>3.0062588451661059</v>
      </c>
      <c r="BH28" s="36">
        <v>2.6781459081582328</v>
      </c>
      <c r="BI28" s="36">
        <v>5.6894121344630513</v>
      </c>
      <c r="BJ28" s="28">
        <v>416.36462384623565</v>
      </c>
      <c r="BK28" s="28">
        <v>552.9862417732719</v>
      </c>
      <c r="BL28" s="28">
        <v>145.79998440589858</v>
      </c>
      <c r="BM28" s="30">
        <f t="shared" si="7"/>
        <v>3.2762105318952268</v>
      </c>
      <c r="BN28" s="7"/>
      <c r="BO28" s="29">
        <f t="shared" si="8"/>
        <v>152.17075421912909</v>
      </c>
      <c r="BP28" s="29">
        <f t="shared" si="22"/>
        <v>17.900136469453894</v>
      </c>
      <c r="BQ28" s="30">
        <f t="shared" si="23"/>
        <v>170.07089068858298</v>
      </c>
      <c r="BS28" s="31">
        <v>1.481619</v>
      </c>
      <c r="BT28" s="31">
        <v>48.299545999999999</v>
      </c>
      <c r="BU28" s="31">
        <v>0</v>
      </c>
      <c r="BV28" s="31">
        <v>0</v>
      </c>
      <c r="BW28" s="31">
        <v>0</v>
      </c>
      <c r="BX28" s="31">
        <v>0</v>
      </c>
      <c r="BY28" s="32">
        <f t="shared" si="9"/>
        <v>49.781165000000001</v>
      </c>
      <c r="BZ28" s="31">
        <v>0</v>
      </c>
      <c r="CA28" s="31">
        <v>0</v>
      </c>
      <c r="CB28" s="31">
        <v>0</v>
      </c>
      <c r="CC28" s="31">
        <v>11.664984</v>
      </c>
      <c r="CD28" s="31">
        <v>355.14807000000002</v>
      </c>
      <c r="CE28" s="31">
        <v>0</v>
      </c>
      <c r="CF28" s="32">
        <f t="shared" si="19"/>
        <v>366.81305400000002</v>
      </c>
      <c r="CG28" s="7"/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2">
        <f t="shared" si="20"/>
        <v>0</v>
      </c>
      <c r="CN28" s="31">
        <v>0</v>
      </c>
      <c r="CO28" s="31">
        <v>0</v>
      </c>
      <c r="CP28" s="31">
        <v>120.00006681890211</v>
      </c>
      <c r="CQ28" s="31">
        <v>17.506268989354147</v>
      </c>
      <c r="CR28" s="31">
        <v>0</v>
      </c>
      <c r="CS28" s="32">
        <f t="shared" si="10"/>
        <v>20.765663655774365</v>
      </c>
      <c r="CU28" s="61">
        <v>50.855889422388287</v>
      </c>
      <c r="CV28" s="61">
        <v>8.9643719400835824</v>
      </c>
      <c r="CW28" s="61">
        <v>2.1889360893079792</v>
      </c>
      <c r="CX28" s="62">
        <v>1.8508025482201538</v>
      </c>
      <c r="CY28" s="63">
        <v>63.86</v>
      </c>
      <c r="DA28" s="32">
        <v>2044.1503194444483</v>
      </c>
      <c r="DB28" s="30">
        <v>34.391778983479369</v>
      </c>
      <c r="DD28" s="50">
        <v>2286.0189671780558</v>
      </c>
      <c r="DE28" s="29">
        <f t="shared" si="21"/>
        <v>38.187319562704623</v>
      </c>
      <c r="DF28" s="51">
        <f t="shared" si="11"/>
        <v>0.59798496026784564</v>
      </c>
      <c r="DH28" s="33"/>
      <c r="DI28" s="32"/>
      <c r="DK28" s="50"/>
      <c r="DL28" s="50"/>
      <c r="DN28" s="31"/>
      <c r="DO28" s="31"/>
      <c r="DQ28" s="29"/>
      <c r="DR28" s="29"/>
      <c r="DT28" s="54"/>
      <c r="DU28" s="54"/>
      <c r="DV28" s="51"/>
      <c r="DX28" s="33"/>
      <c r="DY28" s="33"/>
      <c r="DZ28" s="33"/>
      <c r="EA28" s="33"/>
      <c r="EB28" s="33"/>
      <c r="EC28" s="33"/>
      <c r="ED28" s="33"/>
      <c r="EE28" s="32"/>
      <c r="EF28" s="33"/>
      <c r="EG28" s="33"/>
      <c r="EH28" s="33"/>
      <c r="EI28" s="32"/>
      <c r="EJ28" s="33"/>
      <c r="EK28" s="33"/>
      <c r="EL28" s="33"/>
      <c r="EM28" s="33"/>
      <c r="EN28" s="32"/>
      <c r="EO28" s="32"/>
      <c r="EP28" s="70">
        <f t="shared" si="12"/>
        <v>11008.112176000001</v>
      </c>
    </row>
    <row r="29" spans="1:146" x14ac:dyDescent="0.4">
      <c r="A29" s="22">
        <f t="shared" si="13"/>
        <v>2019</v>
      </c>
      <c r="B29" s="37">
        <v>43800</v>
      </c>
      <c r="C29" s="38">
        <f t="shared" si="14"/>
        <v>31</v>
      </c>
      <c r="D29" s="39">
        <v>59.842741935484334</v>
      </c>
      <c r="E29" s="39">
        <v>59.895000000000003</v>
      </c>
      <c r="F29" s="39">
        <v>59.88</v>
      </c>
      <c r="G29" s="39">
        <v>67.31</v>
      </c>
      <c r="H29" s="7"/>
      <c r="I29" s="40">
        <v>23.725806451612907</v>
      </c>
      <c r="J29" s="39">
        <v>30.7</v>
      </c>
      <c r="K29" s="39">
        <v>18.649999999999999</v>
      </c>
      <c r="L29" s="40">
        <v>23.1</v>
      </c>
      <c r="M29" s="22"/>
      <c r="N29" s="41">
        <v>4911.8992149999958</v>
      </c>
      <c r="O29" s="41">
        <v>3337.4050389999998</v>
      </c>
      <c r="P29" s="42">
        <f t="shared" si="15"/>
        <v>8249.3042539999951</v>
      </c>
      <c r="Q29" s="41">
        <v>1069.4360360000001</v>
      </c>
      <c r="R29" s="41">
        <v>376.00495999999993</v>
      </c>
      <c r="S29" s="41">
        <v>1492.9974269999989</v>
      </c>
      <c r="T29" s="41"/>
      <c r="U29" s="42">
        <f t="shared" si="16"/>
        <v>2938.4384229999987</v>
      </c>
      <c r="V29" s="42">
        <f t="shared" si="0"/>
        <v>11187.742676999995</v>
      </c>
      <c r="W29" s="39">
        <v>0</v>
      </c>
      <c r="X29" s="42">
        <f t="shared" si="1"/>
        <v>11187.742676999995</v>
      </c>
      <c r="Z29" s="42">
        <v>25382</v>
      </c>
      <c r="AB29" s="41">
        <v>6966.1422789999997</v>
      </c>
      <c r="AC29" s="41">
        <v>730.05303300000003</v>
      </c>
      <c r="AD29" s="41">
        <v>3823.6873179999993</v>
      </c>
      <c r="AE29" s="41">
        <v>93.51939999999999</v>
      </c>
      <c r="AF29" s="42">
        <f t="shared" si="2"/>
        <v>11613.402029999999</v>
      </c>
      <c r="AH29" s="41">
        <v>2911.4792689999995</v>
      </c>
      <c r="AI29" s="41">
        <v>140.85133400000001</v>
      </c>
      <c r="AJ29" s="41">
        <v>604.32933800000012</v>
      </c>
      <c r="AK29" s="41">
        <v>118.49199600000001</v>
      </c>
      <c r="AL29" s="41">
        <v>25.173414000000005</v>
      </c>
      <c r="AM29" s="41">
        <v>23.361967</v>
      </c>
      <c r="AN29" s="42">
        <f t="shared" si="17"/>
        <v>912.20804900000019</v>
      </c>
      <c r="AO29" s="43">
        <f t="shared" si="3"/>
        <v>8.1536380960507554E-2</v>
      </c>
      <c r="AQ29" s="40">
        <v>48.827613741935451</v>
      </c>
      <c r="AR29" s="44">
        <f t="shared" si="18"/>
        <v>42.793757472479918</v>
      </c>
      <c r="AS29" s="44">
        <f t="shared" si="18"/>
        <v>6.0338562694555353</v>
      </c>
      <c r="AT29" s="40">
        <v>3.9664999999999999E-2</v>
      </c>
      <c r="AU29" s="40">
        <v>19.605663000000007</v>
      </c>
      <c r="AV29" s="40">
        <v>47.588694000000004</v>
      </c>
      <c r="AW29" s="40">
        <f t="shared" si="4"/>
        <v>50.461961872273392</v>
      </c>
      <c r="AX29" s="7"/>
      <c r="AY29" s="44">
        <v>8.2511877950605594</v>
      </c>
      <c r="AZ29" s="44">
        <v>6.0338562694555353</v>
      </c>
      <c r="BA29" s="44">
        <v>34.542569677419358</v>
      </c>
      <c r="BB29" s="44">
        <v>0</v>
      </c>
      <c r="BC29" s="7"/>
      <c r="BD29" s="38">
        <f t="shared" si="5"/>
        <v>1886.3087122340976</v>
      </c>
      <c r="BE29" s="38">
        <f t="shared" si="6"/>
        <v>1131.4767918647515</v>
      </c>
      <c r="BF29" s="7"/>
      <c r="BG29" s="40">
        <v>3.062540842251968</v>
      </c>
      <c r="BH29" s="44">
        <v>2.5812193161222377</v>
      </c>
      <c r="BI29" s="44">
        <v>6.4762046313196846</v>
      </c>
      <c r="BJ29" s="38">
        <v>416.36462384623559</v>
      </c>
      <c r="BK29" s="38">
        <v>552.98624177327179</v>
      </c>
      <c r="BL29" s="38">
        <v>145.79998440589858</v>
      </c>
      <c r="BM29" s="40">
        <f t="shared" si="7"/>
        <v>3.2705195466167796</v>
      </c>
      <c r="BN29" s="7"/>
      <c r="BO29" s="39">
        <f t="shared" si="8"/>
        <v>171.69012595354826</v>
      </c>
      <c r="BP29" s="39">
        <f t="shared" si="22"/>
        <v>17.796607845745235</v>
      </c>
      <c r="BQ29" s="40">
        <f t="shared" si="23"/>
        <v>189.48673379929349</v>
      </c>
      <c r="BS29" s="41">
        <v>0</v>
      </c>
      <c r="BT29" s="41">
        <v>0</v>
      </c>
      <c r="BU29" s="41">
        <v>0</v>
      </c>
      <c r="BV29" s="41">
        <v>0</v>
      </c>
      <c r="BW29" s="41">
        <v>0</v>
      </c>
      <c r="BX29" s="41">
        <v>0</v>
      </c>
      <c r="BY29" s="42">
        <f t="shared" si="9"/>
        <v>0</v>
      </c>
      <c r="BZ29" s="41">
        <v>0</v>
      </c>
      <c r="CA29" s="41">
        <v>3.1914000000000005E-2</v>
      </c>
      <c r="CB29" s="41">
        <v>0</v>
      </c>
      <c r="CC29" s="41">
        <v>11.705556</v>
      </c>
      <c r="CD29" s="41">
        <v>81.781929999999988</v>
      </c>
      <c r="CE29" s="41">
        <v>0</v>
      </c>
      <c r="CF29" s="42">
        <f t="shared" si="19"/>
        <v>93.51939999999999</v>
      </c>
      <c r="CG29" s="7"/>
      <c r="CH29" s="41">
        <v>0</v>
      </c>
      <c r="CI29" s="41">
        <v>0</v>
      </c>
      <c r="CJ29" s="41">
        <v>0</v>
      </c>
      <c r="CK29" s="41">
        <v>0</v>
      </c>
      <c r="CL29" s="41">
        <v>0</v>
      </c>
      <c r="CM29" s="42">
        <f t="shared" si="20"/>
        <v>0</v>
      </c>
      <c r="CN29" s="41">
        <v>12.021036814425244</v>
      </c>
      <c r="CO29" s="41">
        <v>0</v>
      </c>
      <c r="CP29" s="41">
        <v>119.99999999999996</v>
      </c>
      <c r="CQ29" s="41">
        <v>21.230968722507775</v>
      </c>
      <c r="CR29" s="41">
        <v>0</v>
      </c>
      <c r="CS29" s="42">
        <f t="shared" si="10"/>
        <v>33.586360882301641</v>
      </c>
      <c r="CU29" s="64">
        <v>49.642108650167415</v>
      </c>
      <c r="CV29" s="64">
        <v>10.290080770527366</v>
      </c>
      <c r="CW29" s="64">
        <v>1.9345346190093997</v>
      </c>
      <c r="CX29" s="65">
        <v>1.8232759602958208</v>
      </c>
      <c r="CY29" s="66">
        <v>63.690000000000005</v>
      </c>
      <c r="DA29" s="42">
        <v>1876.6436424731141</v>
      </c>
      <c r="DB29" s="40">
        <v>31.361465871924388</v>
      </c>
      <c r="DD29" s="42">
        <v>2272.9987166155947</v>
      </c>
      <c r="DE29" s="39">
        <f t="shared" si="21"/>
        <v>37.94972396052416</v>
      </c>
      <c r="DF29" s="55">
        <f t="shared" si="11"/>
        <v>0.59585058816963665</v>
      </c>
      <c r="DH29" s="39"/>
      <c r="DI29" s="42"/>
      <c r="DK29" s="42"/>
      <c r="DL29" s="42"/>
      <c r="DN29" s="41"/>
      <c r="DO29" s="41"/>
      <c r="DQ29" s="39"/>
      <c r="DR29" s="39"/>
      <c r="DT29" s="56"/>
      <c r="DU29" s="56"/>
      <c r="DV29" s="55"/>
      <c r="DX29" s="39"/>
      <c r="DY29" s="39"/>
      <c r="DZ29" s="39"/>
      <c r="EA29" s="39"/>
      <c r="EB29" s="39"/>
      <c r="EC29" s="39"/>
      <c r="ED29" s="39"/>
      <c r="EE29" s="42"/>
      <c r="EF29" s="39"/>
      <c r="EG29" s="39"/>
      <c r="EH29" s="39"/>
      <c r="EI29" s="42"/>
      <c r="EJ29" s="39"/>
      <c r="EK29" s="39"/>
      <c r="EL29" s="39"/>
      <c r="EM29" s="39"/>
      <c r="EN29" s="42"/>
      <c r="EO29" s="39"/>
      <c r="EP29" s="71">
        <f t="shared" si="12"/>
        <v>11613.402029999999</v>
      </c>
    </row>
    <row r="30" spans="1:146" x14ac:dyDescent="0.4">
      <c r="A30" s="26">
        <f t="shared" si="13"/>
        <v>2020</v>
      </c>
      <c r="B30" s="27">
        <v>43831</v>
      </c>
      <c r="C30" s="28">
        <f t="shared" si="14"/>
        <v>31</v>
      </c>
      <c r="D30" s="29">
        <v>59.818225806452048</v>
      </c>
      <c r="E30" s="29">
        <v>60.331200000000003</v>
      </c>
      <c r="F30" s="29">
        <v>57.52</v>
      </c>
      <c r="G30" s="29">
        <v>63.65</v>
      </c>
      <c r="H30" s="7"/>
      <c r="I30" s="30">
        <v>25.132258064516133</v>
      </c>
      <c r="J30" s="29">
        <v>30.25</v>
      </c>
      <c r="K30" s="29">
        <v>20</v>
      </c>
      <c r="L30" s="30">
        <v>24.5</v>
      </c>
      <c r="M30" s="22"/>
      <c r="N30" s="31">
        <v>5593.4474000000027</v>
      </c>
      <c r="O30" s="31">
        <v>3431.7715129999997</v>
      </c>
      <c r="P30" s="32">
        <f t="shared" si="15"/>
        <v>9025.2189130000024</v>
      </c>
      <c r="Q30" s="31">
        <v>1062.826116</v>
      </c>
      <c r="R30" s="31">
        <v>383.52903299999997</v>
      </c>
      <c r="S30" s="31">
        <v>1522.2929949999998</v>
      </c>
      <c r="T30" s="31"/>
      <c r="U30" s="32">
        <f t="shared" si="16"/>
        <v>2968.6481439999998</v>
      </c>
      <c r="V30" s="32">
        <f t="shared" si="0"/>
        <v>11993.867057000003</v>
      </c>
      <c r="W30" s="33">
        <v>12.473228000000001</v>
      </c>
      <c r="X30" s="32">
        <f t="shared" si="1"/>
        <v>12006.340285000004</v>
      </c>
      <c r="Z30" s="32">
        <v>24891</v>
      </c>
      <c r="AB30" s="34">
        <v>7659.864877</v>
      </c>
      <c r="AC30" s="34">
        <v>791.10081100000002</v>
      </c>
      <c r="AD30" s="34">
        <v>3981.6955749999997</v>
      </c>
      <c r="AE30" s="34">
        <v>26.785617999999999</v>
      </c>
      <c r="AF30" s="32">
        <f t="shared" si="2"/>
        <v>12459.446881</v>
      </c>
      <c r="AH30" s="31">
        <v>3023.8597410000002</v>
      </c>
      <c r="AI30" s="31">
        <v>128.52494399999998</v>
      </c>
      <c r="AJ30" s="31">
        <v>683.41909299999998</v>
      </c>
      <c r="AK30" s="31">
        <v>106.96228500000005</v>
      </c>
      <c r="AL30" s="31">
        <v>16.046002999999999</v>
      </c>
      <c r="AM30" s="31">
        <v>22.883508999999997</v>
      </c>
      <c r="AN30" s="32">
        <f t="shared" si="17"/>
        <v>957.83583400000009</v>
      </c>
      <c r="AO30" s="35">
        <f t="shared" si="3"/>
        <v>7.986046780808502E-2</v>
      </c>
      <c r="AQ30" s="30">
        <v>53.53</v>
      </c>
      <c r="AR30" s="36">
        <f t="shared" si="18"/>
        <v>46.203861553188993</v>
      </c>
      <c r="AS30" s="36">
        <f t="shared" si="18"/>
        <v>7.3236022210045517</v>
      </c>
      <c r="AT30" s="30">
        <v>20.508749999999996</v>
      </c>
      <c r="AU30" s="30">
        <v>41.014345999999996</v>
      </c>
      <c r="AV30" s="30">
        <v>17.368648</v>
      </c>
      <c r="AW30" s="30">
        <f t="shared" si="4"/>
        <v>56.013408363594472</v>
      </c>
      <c r="AX30" s="7"/>
      <c r="AY30" s="36">
        <v>40.130688004801897</v>
      </c>
      <c r="AZ30" s="36">
        <v>7.3236022210045517</v>
      </c>
      <c r="BA30" s="36">
        <v>6.0731735483870972</v>
      </c>
      <c r="BB30" s="36">
        <v>0</v>
      </c>
      <c r="BC30" s="7"/>
      <c r="BD30" s="32">
        <f t="shared" si="5"/>
        <v>1904.1969763300306</v>
      </c>
      <c r="BE30" s="32">
        <f t="shared" si="6"/>
        <v>1170.6692662354633</v>
      </c>
      <c r="BF30" s="7"/>
      <c r="BG30" s="30">
        <v>2.5379801424945514</v>
      </c>
      <c r="BH30" s="36">
        <v>1.9031962547883021</v>
      </c>
      <c r="BI30" s="36">
        <v>6.5427671282835753</v>
      </c>
      <c r="BJ30" s="28">
        <v>416.3646238462357</v>
      </c>
      <c r="BK30" s="28">
        <v>552.98624177327179</v>
      </c>
      <c r="BL30" s="28">
        <v>145.79998440589858</v>
      </c>
      <c r="BM30" s="30">
        <f t="shared" si="7"/>
        <v>2.9502728351887004</v>
      </c>
      <c r="BN30" s="7"/>
      <c r="BO30" s="29">
        <f t="shared" si="8"/>
        <v>155.98519955036053</v>
      </c>
      <c r="BP30" s="29">
        <f t="shared" si="22"/>
        <v>33.751835640186648</v>
      </c>
      <c r="BQ30" s="30">
        <f t="shared" si="23"/>
        <v>189.73703519054718</v>
      </c>
      <c r="BS30" s="31">
        <v>0</v>
      </c>
      <c r="BT30" s="31">
        <v>0</v>
      </c>
      <c r="BU30" s="31">
        <v>0</v>
      </c>
      <c r="BV30" s="31">
        <v>0</v>
      </c>
      <c r="BW30" s="31">
        <v>12.458</v>
      </c>
      <c r="BX30" s="31">
        <v>0</v>
      </c>
      <c r="BY30" s="32">
        <f t="shared" si="9"/>
        <v>12.458</v>
      </c>
      <c r="BZ30" s="31">
        <v>0</v>
      </c>
      <c r="CA30" s="31">
        <v>0</v>
      </c>
      <c r="CB30" s="31">
        <v>0</v>
      </c>
      <c r="CC30" s="31">
        <v>12.819618</v>
      </c>
      <c r="CD30" s="31">
        <v>13.965999999999999</v>
      </c>
      <c r="CE30" s="31"/>
      <c r="CF30" s="32">
        <f t="shared" si="19"/>
        <v>26.785617999999999</v>
      </c>
      <c r="CG30" s="7"/>
      <c r="CH30" s="31">
        <v>0</v>
      </c>
      <c r="CI30" s="31">
        <v>0</v>
      </c>
      <c r="CJ30" s="31">
        <v>0</v>
      </c>
      <c r="CK30" s="31">
        <v>56.65</v>
      </c>
      <c r="CL30" s="31">
        <v>0</v>
      </c>
      <c r="CM30" s="32">
        <f t="shared" si="20"/>
        <v>56.649999999999991</v>
      </c>
      <c r="CN30" s="31">
        <v>0</v>
      </c>
      <c r="CO30" s="31">
        <v>0</v>
      </c>
      <c r="CP30" s="31">
        <v>120</v>
      </c>
      <c r="CQ30" s="31">
        <v>13.6</v>
      </c>
      <c r="CR30" s="31">
        <v>0</v>
      </c>
      <c r="CS30" s="32">
        <f t="shared" si="10"/>
        <v>64.523124312457526</v>
      </c>
      <c r="CU30" s="61">
        <v>47.258461618450916</v>
      </c>
      <c r="CV30" s="61">
        <v>9.9206348903344761</v>
      </c>
      <c r="CW30" s="61">
        <v>1.9600341490726803</v>
      </c>
      <c r="CX30" s="62">
        <v>1.8208693421419377</v>
      </c>
      <c r="CY30" s="63">
        <v>60.960000000000015</v>
      </c>
      <c r="DA30" s="32">
        <v>2344.3887634408602</v>
      </c>
      <c r="DB30" s="30">
        <v>39.191623056273599</v>
      </c>
      <c r="DD30" s="50">
        <v>2244.7502401565798</v>
      </c>
      <c r="DE30" s="29">
        <f t="shared" si="21"/>
        <v>37.20712069636572</v>
      </c>
      <c r="DF30" s="51">
        <f t="shared" si="11"/>
        <v>0.61035302979602546</v>
      </c>
      <c r="DH30" s="33"/>
      <c r="DI30" s="32"/>
      <c r="DK30" s="50"/>
      <c r="DL30" s="50"/>
      <c r="DN30" s="31"/>
      <c r="DO30" s="31"/>
      <c r="DQ30" s="29"/>
      <c r="DR30" s="29"/>
      <c r="DT30" s="54"/>
      <c r="DU30" s="54"/>
      <c r="DV30" s="51"/>
      <c r="DX30" s="33"/>
      <c r="DY30" s="33"/>
      <c r="DZ30" s="33"/>
      <c r="EA30" s="33"/>
      <c r="EB30" s="33"/>
      <c r="EC30" s="33"/>
      <c r="ED30" s="33"/>
      <c r="EE30" s="32"/>
      <c r="EF30" s="33"/>
      <c r="EG30" s="33"/>
      <c r="EH30" s="33"/>
      <c r="EI30" s="32"/>
      <c r="EJ30" s="33"/>
      <c r="EK30" s="33"/>
      <c r="EL30" s="33"/>
      <c r="EM30" s="33"/>
      <c r="EN30" s="32"/>
      <c r="EO30" s="32"/>
      <c r="EP30" s="70">
        <f t="shared" si="12"/>
        <v>12459.446881</v>
      </c>
    </row>
    <row r="31" spans="1:146" x14ac:dyDescent="0.4">
      <c r="A31" s="22">
        <f t="shared" si="13"/>
        <v>2020</v>
      </c>
      <c r="B31" s="37">
        <v>43862</v>
      </c>
      <c r="C31" s="38">
        <f t="shared" si="14"/>
        <v>29</v>
      </c>
      <c r="D31" s="39">
        <v>60.489965517241878</v>
      </c>
      <c r="E31" s="39">
        <v>62.207999999999998</v>
      </c>
      <c r="F31" s="39">
        <v>50.54</v>
      </c>
      <c r="G31" s="39">
        <v>55.66</v>
      </c>
      <c r="H31" s="7"/>
      <c r="I31" s="40">
        <v>24.468965517241376</v>
      </c>
      <c r="J31" s="39">
        <v>30.2</v>
      </c>
      <c r="K31" s="39">
        <v>17</v>
      </c>
      <c r="L31" s="40">
        <v>23.6</v>
      </c>
      <c r="M31" s="22"/>
      <c r="N31" s="41">
        <v>4751.3847190000015</v>
      </c>
      <c r="O31" s="41">
        <v>3172.846211</v>
      </c>
      <c r="P31" s="42">
        <f t="shared" si="15"/>
        <v>7924.2309300000015</v>
      </c>
      <c r="Q31" s="41">
        <v>1045.7991709999999</v>
      </c>
      <c r="R31" s="41">
        <v>394.47431899999998</v>
      </c>
      <c r="S31" s="41">
        <v>1478.9700099999995</v>
      </c>
      <c r="T31" s="41"/>
      <c r="U31" s="42">
        <f t="shared" si="16"/>
        <v>2919.2434999999996</v>
      </c>
      <c r="V31" s="42">
        <f t="shared" si="0"/>
        <v>10843.474430000002</v>
      </c>
      <c r="W31" s="39">
        <v>29.984058000000001</v>
      </c>
      <c r="X31" s="42">
        <f t="shared" si="1"/>
        <v>10873.458488000002</v>
      </c>
      <c r="Z31" s="42">
        <v>25791</v>
      </c>
      <c r="AB31" s="41">
        <v>6981.2529670000004</v>
      </c>
      <c r="AC31" s="41">
        <v>804.84003799999994</v>
      </c>
      <c r="AD31" s="41">
        <v>3422.4499950000004</v>
      </c>
      <c r="AE31" s="41">
        <v>37.66113</v>
      </c>
      <c r="AF31" s="42">
        <f t="shared" si="2"/>
        <v>11246.204130000002</v>
      </c>
      <c r="AH31" s="41">
        <v>2524.2411770000003</v>
      </c>
      <c r="AI31" s="41">
        <v>129.89842100000001</v>
      </c>
      <c r="AJ31" s="41">
        <v>650.16150899999991</v>
      </c>
      <c r="AK31" s="41">
        <v>84.446663000000015</v>
      </c>
      <c r="AL31" s="41">
        <v>12.938154000000001</v>
      </c>
      <c r="AM31" s="41">
        <v>20.764071000000005</v>
      </c>
      <c r="AN31" s="42">
        <f t="shared" si="17"/>
        <v>898.20881800000006</v>
      </c>
      <c r="AO31" s="43">
        <f t="shared" si="3"/>
        <v>8.2834042151192666E-2</v>
      </c>
      <c r="AQ31" s="40">
        <v>51.45</v>
      </c>
      <c r="AR31" s="44">
        <f t="shared" si="18"/>
        <v>41.527445676245996</v>
      </c>
      <c r="AS31" s="44">
        <f t="shared" si="18"/>
        <v>9.9228272547885084</v>
      </c>
      <c r="AT31" s="40">
        <v>14.717288000000002</v>
      </c>
      <c r="AU31" s="40">
        <v>20.486202000000006</v>
      </c>
      <c r="AV31" s="40">
        <v>33.079038999999995</v>
      </c>
      <c r="AW31" s="40">
        <f t="shared" si="4"/>
        <v>53.496912340558296</v>
      </c>
      <c r="AX31" s="7"/>
      <c r="AY31" s="44">
        <v>36.084266021073581</v>
      </c>
      <c r="AZ31" s="44">
        <v>9.9228272547885084</v>
      </c>
      <c r="BA31" s="44">
        <v>5.4431796551724148</v>
      </c>
      <c r="BB31" s="44">
        <v>0</v>
      </c>
      <c r="BC31" s="7"/>
      <c r="BD31" s="38">
        <f t="shared" si="5"/>
        <v>1866.6918256308472</v>
      </c>
      <c r="BE31" s="38">
        <f t="shared" si="6"/>
        <v>1158.7774590892116</v>
      </c>
      <c r="BF31" s="7"/>
      <c r="BG31" s="40">
        <v>3.3910096393176716</v>
      </c>
      <c r="BH31" s="44">
        <v>2.5422544575243204</v>
      </c>
      <c r="BI31" s="44">
        <v>6.9430854539345761</v>
      </c>
      <c r="BJ31" s="38">
        <v>416.3646238462357</v>
      </c>
      <c r="BK31" s="38">
        <v>552.98624177327179</v>
      </c>
      <c r="BL31" s="38">
        <v>145.79998440589858</v>
      </c>
      <c r="BM31" s="40">
        <f t="shared" si="7"/>
        <v>3.6489996408305769</v>
      </c>
      <c r="BN31" s="7"/>
      <c r="BO31" s="39">
        <f t="shared" si="8"/>
        <v>187.3909604571827</v>
      </c>
      <c r="BP31" s="39">
        <f t="shared" si="22"/>
        <v>22.279269304706915</v>
      </c>
      <c r="BQ31" s="40">
        <f t="shared" si="23"/>
        <v>209.67022976188963</v>
      </c>
      <c r="BS31" s="41">
        <v>0</v>
      </c>
      <c r="BT31" s="41">
        <v>5.9058000000000006E-2</v>
      </c>
      <c r="BU31" s="41">
        <v>0</v>
      </c>
      <c r="BV31" s="41">
        <v>0</v>
      </c>
      <c r="BW31" s="41">
        <v>29.925000000000001</v>
      </c>
      <c r="BX31" s="41">
        <v>0</v>
      </c>
      <c r="BY31" s="42">
        <f t="shared" si="9"/>
        <v>29.984058000000001</v>
      </c>
      <c r="BZ31" s="41">
        <v>0</v>
      </c>
      <c r="CA31" s="41">
        <v>5.4287999999999996E-2</v>
      </c>
      <c r="CB31" s="41">
        <v>0</v>
      </c>
      <c r="CC31" s="41">
        <v>11.365842000000001</v>
      </c>
      <c r="CD31" s="41">
        <v>26.241</v>
      </c>
      <c r="CE31" s="41"/>
      <c r="CF31" s="42">
        <f t="shared" si="19"/>
        <v>37.66113</v>
      </c>
      <c r="CG31" s="7"/>
      <c r="CH31" s="41">
        <v>0</v>
      </c>
      <c r="CI31" s="41">
        <v>0</v>
      </c>
      <c r="CJ31" s="41">
        <v>0</v>
      </c>
      <c r="CK31" s="41">
        <v>84.4</v>
      </c>
      <c r="CL31" s="41">
        <v>0</v>
      </c>
      <c r="CM31" s="42">
        <f t="shared" si="20"/>
        <v>84.233761821031692</v>
      </c>
      <c r="CN31" s="41">
        <v>0</v>
      </c>
      <c r="CO31" s="41">
        <v>0</v>
      </c>
      <c r="CP31" s="41">
        <v>120</v>
      </c>
      <c r="CQ31" s="41">
        <v>20.6</v>
      </c>
      <c r="CR31" s="41">
        <v>0</v>
      </c>
      <c r="CS31" s="42">
        <f t="shared" si="10"/>
        <v>50.568467807524641</v>
      </c>
      <c r="CU31" s="64">
        <v>52.210979596379431</v>
      </c>
      <c r="CV31" s="64">
        <v>9.1514761108403722</v>
      </c>
      <c r="CW31" s="64">
        <v>2.3924568656598595</v>
      </c>
      <c r="CX31" s="65">
        <v>1.7850874271203381</v>
      </c>
      <c r="CY31" s="66">
        <v>65.539999999999992</v>
      </c>
      <c r="DA31" s="42">
        <v>3264.1496695402202</v>
      </c>
      <c r="DB31" s="40">
        <v>54.074866517545502</v>
      </c>
      <c r="DD31" s="42">
        <v>2290.0854854497702</v>
      </c>
      <c r="DE31" s="39">
        <f t="shared" si="21"/>
        <v>36.813359784107675</v>
      </c>
      <c r="DF31" s="55">
        <f t="shared" si="11"/>
        <v>0.56169300860707472</v>
      </c>
      <c r="DH31" s="39"/>
      <c r="DI31" s="42"/>
      <c r="DK31" s="42"/>
      <c r="DL31" s="42"/>
      <c r="DN31" s="41"/>
      <c r="DO31" s="41"/>
      <c r="DQ31" s="39"/>
      <c r="DR31" s="39"/>
      <c r="DT31" s="56"/>
      <c r="DU31" s="56"/>
      <c r="DV31" s="55"/>
      <c r="DX31" s="39"/>
      <c r="DY31" s="39"/>
      <c r="DZ31" s="39"/>
      <c r="EA31" s="39"/>
      <c r="EB31" s="39"/>
      <c r="EC31" s="39"/>
      <c r="ED31" s="39"/>
      <c r="EE31" s="42"/>
      <c r="EF31" s="39"/>
      <c r="EG31" s="39"/>
      <c r="EH31" s="39"/>
      <c r="EI31" s="42"/>
      <c r="EJ31" s="39"/>
      <c r="EK31" s="39"/>
      <c r="EL31" s="39"/>
      <c r="EM31" s="39"/>
      <c r="EN31" s="42"/>
      <c r="EO31" s="39"/>
      <c r="EP31" s="71">
        <f t="shared" si="12"/>
        <v>11246.204130000002</v>
      </c>
    </row>
    <row r="32" spans="1:146" x14ac:dyDescent="0.4">
      <c r="A32" s="26">
        <f t="shared" si="13"/>
        <v>2020</v>
      </c>
      <c r="B32" s="27">
        <v>43891</v>
      </c>
      <c r="C32" s="28">
        <f t="shared" si="14"/>
        <v>31</v>
      </c>
      <c r="D32" s="29">
        <v>62.41229032258002</v>
      </c>
      <c r="E32" s="29">
        <v>64.469700000000003</v>
      </c>
      <c r="F32" s="29">
        <v>29.21</v>
      </c>
      <c r="G32" s="29">
        <v>32.01</v>
      </c>
      <c r="H32" s="7"/>
      <c r="I32" s="30">
        <v>24.369354838709683</v>
      </c>
      <c r="J32" s="29">
        <v>28.5</v>
      </c>
      <c r="K32" s="29">
        <v>19.149999999999999</v>
      </c>
      <c r="L32" s="30">
        <v>21.5</v>
      </c>
      <c r="M32" s="22"/>
      <c r="N32" s="31">
        <v>5034.6418879999965</v>
      </c>
      <c r="O32" s="31">
        <v>3264.9756539999989</v>
      </c>
      <c r="P32" s="32">
        <f t="shared" si="15"/>
        <v>8299.6175419999963</v>
      </c>
      <c r="Q32" s="31">
        <v>1053.4763229999999</v>
      </c>
      <c r="R32" s="31">
        <v>358.83368800000011</v>
      </c>
      <c r="S32" s="31">
        <v>1432.304638999999</v>
      </c>
      <c r="T32" s="31"/>
      <c r="U32" s="32">
        <f t="shared" si="16"/>
        <v>2844.6146499999991</v>
      </c>
      <c r="V32" s="32">
        <f t="shared" si="0"/>
        <v>11144.232191999996</v>
      </c>
      <c r="W32" s="33">
        <v>172.670129</v>
      </c>
      <c r="X32" s="32">
        <f t="shared" si="1"/>
        <v>11316.902320999996</v>
      </c>
      <c r="Z32" s="32">
        <v>23847</v>
      </c>
      <c r="AB32" s="34">
        <v>7663.6206950000005</v>
      </c>
      <c r="AC32" s="34">
        <v>927.59931600000004</v>
      </c>
      <c r="AD32" s="34">
        <v>3115.6417789999996</v>
      </c>
      <c r="AE32" s="34">
        <v>26.225424</v>
      </c>
      <c r="AF32" s="32">
        <f t="shared" si="2"/>
        <v>11733.087214000001</v>
      </c>
      <c r="AH32" s="31">
        <v>2202.7848409999997</v>
      </c>
      <c r="AI32" s="31">
        <v>110.44023000000003</v>
      </c>
      <c r="AJ32" s="31">
        <v>664.64539999999977</v>
      </c>
      <c r="AK32" s="31">
        <v>98.569904000000008</v>
      </c>
      <c r="AL32" s="31">
        <v>15.171359000000001</v>
      </c>
      <c r="AM32" s="31">
        <v>24.030045000000005</v>
      </c>
      <c r="AN32" s="32">
        <f t="shared" si="17"/>
        <v>912.85693799999979</v>
      </c>
      <c r="AO32" s="35">
        <f t="shared" si="3"/>
        <v>8.1912950329167025E-2</v>
      </c>
      <c r="AQ32" s="30">
        <v>54.3</v>
      </c>
      <c r="AR32" s="36">
        <f t="shared" si="18"/>
        <v>41.834308167082497</v>
      </c>
      <c r="AS32" s="36">
        <f t="shared" si="18"/>
        <v>12.466115284530398</v>
      </c>
      <c r="AT32" s="30">
        <v>3.7268210000000006</v>
      </c>
      <c r="AU32" s="30">
        <v>17.334047999999996</v>
      </c>
      <c r="AV32" s="30">
        <v>57.514718999999999</v>
      </c>
      <c r="AW32" s="30">
        <f t="shared" si="4"/>
        <v>56.204103149923192</v>
      </c>
      <c r="AX32" s="7"/>
      <c r="AY32" s="36">
        <v>36.530732683211532</v>
      </c>
      <c r="AZ32" s="36">
        <v>12.466115284530398</v>
      </c>
      <c r="BA32" s="36">
        <v>5.3035754838709668</v>
      </c>
      <c r="BB32" s="36">
        <v>0</v>
      </c>
      <c r="BC32" s="7"/>
      <c r="BD32" s="32">
        <f t="shared" si="5"/>
        <v>1909.7433240385599</v>
      </c>
      <c r="BE32" s="32">
        <f t="shared" si="6"/>
        <v>1247.3740451512847</v>
      </c>
      <c r="BF32" s="7"/>
      <c r="BG32" s="30">
        <v>3.2809730669547834</v>
      </c>
      <c r="BH32" s="36">
        <v>2.3297830747072648</v>
      </c>
      <c r="BI32" s="36">
        <v>6.4730160051832728</v>
      </c>
      <c r="BJ32" s="28">
        <v>394.44612354553561</v>
      </c>
      <c r="BK32" s="28">
        <v>510.80306626876825</v>
      </c>
      <c r="BL32" s="28">
        <v>145.79998440589858</v>
      </c>
      <c r="BM32" s="30">
        <f t="shared" si="7"/>
        <v>3.4597582442728978</v>
      </c>
      <c r="BN32" s="7"/>
      <c r="BO32" s="29">
        <f t="shared" si="8"/>
        <v>204.55044309648096</v>
      </c>
      <c r="BP32" s="29">
        <f t="shared" si="22"/>
        <v>18.709960099157747</v>
      </c>
      <c r="BQ32" s="30">
        <f t="shared" si="23"/>
        <v>223.2604031956387</v>
      </c>
      <c r="BS32" s="31">
        <v>73.142855999999995</v>
      </c>
      <c r="BT32" s="31">
        <v>0</v>
      </c>
      <c r="BU32" s="31">
        <v>0</v>
      </c>
      <c r="BV32" s="31">
        <v>0</v>
      </c>
      <c r="BW32" s="31">
        <v>99.525000000000006</v>
      </c>
      <c r="BX32" s="31">
        <v>0</v>
      </c>
      <c r="BY32" s="32">
        <f t="shared" si="9"/>
        <v>172.667856</v>
      </c>
      <c r="BZ32" s="31">
        <v>0</v>
      </c>
      <c r="CA32" s="31">
        <v>0</v>
      </c>
      <c r="CB32" s="31">
        <v>0</v>
      </c>
      <c r="CC32" s="31">
        <v>11.397424000000001</v>
      </c>
      <c r="CD32" s="31">
        <v>14.827999999999999</v>
      </c>
      <c r="CE32" s="31"/>
      <c r="CF32" s="32">
        <f t="shared" si="19"/>
        <v>26.225424</v>
      </c>
      <c r="CG32" s="7"/>
      <c r="CH32" s="31">
        <v>105.3</v>
      </c>
      <c r="CI32" s="31">
        <v>0</v>
      </c>
      <c r="CJ32" s="31">
        <v>0</v>
      </c>
      <c r="CK32" s="31">
        <v>69.81</v>
      </c>
      <c r="CL32" s="31">
        <v>0</v>
      </c>
      <c r="CM32" s="32">
        <f t="shared" si="20"/>
        <v>84.843718606200795</v>
      </c>
      <c r="CN32" s="31">
        <v>0</v>
      </c>
      <c r="CO32" s="31">
        <v>0</v>
      </c>
      <c r="CP32" s="31">
        <v>120</v>
      </c>
      <c r="CQ32" s="31">
        <v>23.1</v>
      </c>
      <c r="CR32" s="31">
        <v>0</v>
      </c>
      <c r="CS32" s="32">
        <f t="shared" si="10"/>
        <v>65.212203242166851</v>
      </c>
      <c r="CU32" s="61">
        <v>49.754284518831092</v>
      </c>
      <c r="CV32" s="61">
        <v>7.2863142970670332</v>
      </c>
      <c r="CW32" s="61">
        <v>2.2452624990431165</v>
      </c>
      <c r="CX32" s="62">
        <v>1.7341386850587528</v>
      </c>
      <c r="CY32" s="63">
        <v>61.019999999999989</v>
      </c>
      <c r="DA32" s="32">
        <v>3397.4511827956899</v>
      </c>
      <c r="DB32" s="30">
        <v>54.5369902148203</v>
      </c>
      <c r="DD32" s="50">
        <v>2262.4978590196702</v>
      </c>
      <c r="DE32" s="29">
        <f t="shared" si="21"/>
        <v>35.093972191892782</v>
      </c>
      <c r="DF32" s="51">
        <f t="shared" si="11"/>
        <v>0.57512245479994739</v>
      </c>
      <c r="DH32" s="33"/>
      <c r="DI32" s="32"/>
      <c r="DK32" s="50"/>
      <c r="DL32" s="50"/>
      <c r="DN32" s="31"/>
      <c r="DO32" s="31"/>
      <c r="DQ32" s="29"/>
      <c r="DR32" s="29"/>
      <c r="DT32" s="54"/>
      <c r="DU32" s="54"/>
      <c r="DV32" s="51"/>
      <c r="DX32" s="33"/>
      <c r="DY32" s="33"/>
      <c r="DZ32" s="33"/>
      <c r="EA32" s="33"/>
      <c r="EB32" s="33"/>
      <c r="EC32" s="33"/>
      <c r="ED32" s="33"/>
      <c r="EE32" s="32"/>
      <c r="EF32" s="33"/>
      <c r="EG32" s="33"/>
      <c r="EH32" s="33"/>
      <c r="EI32" s="32"/>
      <c r="EJ32" s="33"/>
      <c r="EK32" s="33"/>
      <c r="EL32" s="33"/>
      <c r="EM32" s="33"/>
      <c r="EN32" s="32"/>
      <c r="EO32" s="32"/>
      <c r="EP32" s="70">
        <f t="shared" si="12"/>
        <v>11733.087214000001</v>
      </c>
    </row>
    <row r="33" spans="1:146" x14ac:dyDescent="0.4">
      <c r="A33" s="22">
        <f t="shared" si="13"/>
        <v>2020</v>
      </c>
      <c r="B33" s="37">
        <v>43922</v>
      </c>
      <c r="C33" s="38">
        <f t="shared" si="14"/>
        <v>30</v>
      </c>
      <c r="D33" s="39">
        <v>64.684800000001118</v>
      </c>
      <c r="E33" s="39">
        <v>66.834999999999994</v>
      </c>
      <c r="F33" s="39">
        <v>16.55</v>
      </c>
      <c r="G33" s="39">
        <v>18.38</v>
      </c>
      <c r="H33" s="7"/>
      <c r="I33" s="40">
        <v>18.216666666666661</v>
      </c>
      <c r="J33" s="39">
        <v>22.3</v>
      </c>
      <c r="K33" s="39">
        <v>14.05</v>
      </c>
      <c r="L33" s="40">
        <v>17.8</v>
      </c>
      <c r="M33" s="22"/>
      <c r="N33" s="41">
        <v>3863.6307750000005</v>
      </c>
      <c r="O33" s="41">
        <v>2413.4507960000001</v>
      </c>
      <c r="P33" s="42">
        <f t="shared" si="15"/>
        <v>6277.0815710000006</v>
      </c>
      <c r="Q33" s="41">
        <v>856.35735199999999</v>
      </c>
      <c r="R33" s="41">
        <v>265.02615000000003</v>
      </c>
      <c r="S33" s="41">
        <v>1138.7353340000002</v>
      </c>
      <c r="T33" s="41"/>
      <c r="U33" s="42">
        <f t="shared" si="16"/>
        <v>2260.1188360000006</v>
      </c>
      <c r="V33" s="42">
        <f t="shared" si="0"/>
        <v>8537.2004070000003</v>
      </c>
      <c r="W33" s="39">
        <v>166.557591</v>
      </c>
      <c r="X33" s="42">
        <f t="shared" si="1"/>
        <v>8703.757998000001</v>
      </c>
      <c r="Z33" s="42">
        <v>16405</v>
      </c>
      <c r="AB33" s="41">
        <v>5510.2572300000002</v>
      </c>
      <c r="AC33" s="41">
        <v>975.363382</v>
      </c>
      <c r="AD33" s="41">
        <v>2503.5647660000004</v>
      </c>
      <c r="AE33" s="41">
        <v>91.767984000000013</v>
      </c>
      <c r="AF33" s="42">
        <f t="shared" si="2"/>
        <v>9080.953362000002</v>
      </c>
      <c r="AH33" s="41">
        <v>1666.0103430000004</v>
      </c>
      <c r="AI33" s="41">
        <v>104.25661500000001</v>
      </c>
      <c r="AJ33" s="41">
        <v>612.39178500000003</v>
      </c>
      <c r="AK33" s="41">
        <v>80.104038000000017</v>
      </c>
      <c r="AL33" s="41">
        <v>16.965869000000001</v>
      </c>
      <c r="AM33" s="41">
        <v>23.836116000000004</v>
      </c>
      <c r="AN33" s="42">
        <f t="shared" si="17"/>
        <v>837.55442300000004</v>
      </c>
      <c r="AO33" s="43">
        <f t="shared" si="3"/>
        <v>9.8106449781037691E-2</v>
      </c>
      <c r="AQ33" s="40">
        <v>39.01</v>
      </c>
      <c r="AR33" s="44">
        <f t="shared" si="18"/>
        <v>30.737534220065342</v>
      </c>
      <c r="AS33" s="44">
        <f t="shared" si="18"/>
        <v>8.2703503799346532</v>
      </c>
      <c r="AT33" s="40">
        <v>1.5811000000000002E-2</v>
      </c>
      <c r="AU33" s="40">
        <v>2.8655710000000005</v>
      </c>
      <c r="AV33" s="40">
        <v>0</v>
      </c>
      <c r="AW33" s="40">
        <f t="shared" si="4"/>
        <v>39.108180741984128</v>
      </c>
      <c r="AX33" s="7"/>
      <c r="AY33" s="44">
        <v>27.087661220065343</v>
      </c>
      <c r="AZ33" s="44">
        <v>8.2703503799346532</v>
      </c>
      <c r="BA33" s="44">
        <v>3.6498729999999999</v>
      </c>
      <c r="BB33" s="44">
        <v>0</v>
      </c>
      <c r="BC33" s="7"/>
      <c r="BD33" s="38">
        <f t="shared" si="5"/>
        <v>1788.5302147645834</v>
      </c>
      <c r="BE33" s="38">
        <f t="shared" si="6"/>
        <v>1085.2672791185289</v>
      </c>
      <c r="BF33" s="7"/>
      <c r="BG33" s="40">
        <v>1.5203724836035026</v>
      </c>
      <c r="BH33" s="44">
        <v>1.4143051070893427</v>
      </c>
      <c r="BI33" s="44">
        <v>1.9145818538795789</v>
      </c>
      <c r="BJ33" s="38">
        <v>379.47215280819171</v>
      </c>
      <c r="BK33" s="38">
        <v>510.80306626876825</v>
      </c>
      <c r="BL33" s="38">
        <v>145.79998440589858</v>
      </c>
      <c r="BM33" s="40">
        <f t="shared" si="7"/>
        <v>1.5503789103423662</v>
      </c>
      <c r="BN33" s="7"/>
      <c r="BO33" s="39">
        <f t="shared" si="8"/>
        <v>65.899700650414047</v>
      </c>
      <c r="BP33" s="39">
        <f t="shared" si="22"/>
        <v>1.469742287618911</v>
      </c>
      <c r="BQ33" s="40">
        <f t="shared" si="23"/>
        <v>67.369442938032961</v>
      </c>
      <c r="BS33" s="41">
        <v>0</v>
      </c>
      <c r="BT33" s="41">
        <v>0</v>
      </c>
      <c r="BU33" s="41">
        <v>0</v>
      </c>
      <c r="BV33" s="41">
        <v>0</v>
      </c>
      <c r="BW33" s="41">
        <v>166.55600000000001</v>
      </c>
      <c r="BX33" s="41">
        <v>0</v>
      </c>
      <c r="BY33" s="42">
        <f t="shared" si="9"/>
        <v>166.55600000000001</v>
      </c>
      <c r="BZ33" s="41">
        <v>0</v>
      </c>
      <c r="CA33" s="41">
        <v>0</v>
      </c>
      <c r="CB33" s="41">
        <v>0</v>
      </c>
      <c r="CC33" s="41">
        <v>10.998984</v>
      </c>
      <c r="CD33" s="41">
        <v>80.769000000000005</v>
      </c>
      <c r="CE33" s="41"/>
      <c r="CF33" s="42">
        <f t="shared" si="19"/>
        <v>91.767984000000013</v>
      </c>
      <c r="CG33" s="7"/>
      <c r="CH33" s="41">
        <v>0</v>
      </c>
      <c r="CI33" s="41">
        <v>0</v>
      </c>
      <c r="CJ33" s="41">
        <v>0</v>
      </c>
      <c r="CK33" s="41">
        <v>60.46</v>
      </c>
      <c r="CL33" s="41">
        <v>0</v>
      </c>
      <c r="CM33" s="42">
        <f t="shared" si="20"/>
        <v>60.46</v>
      </c>
      <c r="CN33" s="41">
        <v>0</v>
      </c>
      <c r="CO33" s="41">
        <v>0</v>
      </c>
      <c r="CP33" s="41">
        <v>120</v>
      </c>
      <c r="CQ33" s="41">
        <v>11.4</v>
      </c>
      <c r="CR33" s="41">
        <v>0</v>
      </c>
      <c r="CS33" s="42">
        <f t="shared" si="10"/>
        <v>24.416409539954582</v>
      </c>
      <c r="CU33" s="64">
        <v>43.489105550281494</v>
      </c>
      <c r="CV33" s="64">
        <v>8.7285157689995323</v>
      </c>
      <c r="CW33" s="64">
        <v>1.9818304192423648</v>
      </c>
      <c r="CX33" s="65">
        <v>1.8005482614766053</v>
      </c>
      <c r="CY33" s="66">
        <v>55.999999999999993</v>
      </c>
      <c r="DA33" s="42">
        <v>1172.18702777778</v>
      </c>
      <c r="DB33" s="40">
        <v>18.117760634729599</v>
      </c>
      <c r="DD33" s="42">
        <v>2250.06226825146</v>
      </c>
      <c r="DE33" s="39">
        <f t="shared" si="21"/>
        <v>33.665927556691258</v>
      </c>
      <c r="DF33" s="55">
        <f t="shared" si="11"/>
        <v>0.6011772777980583</v>
      </c>
      <c r="DH33" s="39"/>
      <c r="DI33" s="42"/>
      <c r="DK33" s="42"/>
      <c r="DL33" s="42"/>
      <c r="DN33" s="41"/>
      <c r="DO33" s="41"/>
      <c r="DQ33" s="39"/>
      <c r="DR33" s="39"/>
      <c r="DT33" s="56"/>
      <c r="DU33" s="56"/>
      <c r="DV33" s="55"/>
      <c r="DX33" s="39"/>
      <c r="DY33" s="39"/>
      <c r="DZ33" s="39"/>
      <c r="EA33" s="39"/>
      <c r="EB33" s="39"/>
      <c r="EC33" s="39"/>
      <c r="ED33" s="39"/>
      <c r="EE33" s="42"/>
      <c r="EF33" s="39"/>
      <c r="EG33" s="39"/>
      <c r="EH33" s="39"/>
      <c r="EI33" s="42"/>
      <c r="EJ33" s="39"/>
      <c r="EK33" s="39"/>
      <c r="EL33" s="39"/>
      <c r="EM33" s="39"/>
      <c r="EN33" s="42"/>
      <c r="EO33" s="39"/>
      <c r="EP33" s="71">
        <f t="shared" si="12"/>
        <v>9080.953362000002</v>
      </c>
    </row>
    <row r="34" spans="1:146" x14ac:dyDescent="0.4">
      <c r="A34" s="26">
        <f t="shared" si="13"/>
        <v>2020</v>
      </c>
      <c r="B34" s="27">
        <v>43952</v>
      </c>
      <c r="C34" s="28">
        <f t="shared" si="14"/>
        <v>31</v>
      </c>
      <c r="D34" s="29">
        <v>66.755612903226364</v>
      </c>
      <c r="E34" s="29">
        <v>68.534999999999997</v>
      </c>
      <c r="F34" s="29">
        <v>28.56</v>
      </c>
      <c r="G34" s="29">
        <v>29.38</v>
      </c>
      <c r="H34" s="7"/>
      <c r="I34" s="30">
        <v>15.65645161290322</v>
      </c>
      <c r="J34" s="29">
        <v>20.95</v>
      </c>
      <c r="K34" s="29">
        <v>10.4</v>
      </c>
      <c r="L34" s="30">
        <v>14.600000000000001</v>
      </c>
      <c r="M34" s="22"/>
      <c r="N34" s="31">
        <v>4687.3323800000016</v>
      </c>
      <c r="O34" s="31">
        <v>2577.7419789999994</v>
      </c>
      <c r="P34" s="32">
        <f t="shared" si="15"/>
        <v>7265.0743590000011</v>
      </c>
      <c r="Q34" s="31">
        <v>846.70185100000003</v>
      </c>
      <c r="R34" s="31">
        <v>300.03433399999989</v>
      </c>
      <c r="S34" s="31">
        <v>1205.5176280000001</v>
      </c>
      <c r="T34" s="31"/>
      <c r="U34" s="32">
        <f t="shared" si="16"/>
        <v>2352.2538130000003</v>
      </c>
      <c r="V34" s="32">
        <f t="shared" si="0"/>
        <v>9617.3281720000014</v>
      </c>
      <c r="W34" s="33">
        <v>114.88815099999999</v>
      </c>
      <c r="X34" s="32">
        <f t="shared" si="1"/>
        <v>9732.2163230000006</v>
      </c>
      <c r="Z34" s="32">
        <v>19000</v>
      </c>
      <c r="AB34" s="34">
        <v>6045.6764050000002</v>
      </c>
      <c r="AC34" s="34">
        <v>1013.771676</v>
      </c>
      <c r="AD34" s="34">
        <v>3020.1072209999998</v>
      </c>
      <c r="AE34" s="34">
        <v>85.253168000000002</v>
      </c>
      <c r="AF34" s="32">
        <f t="shared" si="2"/>
        <v>10164.80847</v>
      </c>
      <c r="AH34" s="31">
        <v>2092.9993839999997</v>
      </c>
      <c r="AI34" s="31">
        <v>80.337125</v>
      </c>
      <c r="AJ34" s="31">
        <v>729.1327100000002</v>
      </c>
      <c r="AK34" s="31">
        <v>72.637370000000004</v>
      </c>
      <c r="AL34" s="31">
        <v>19.014596999999998</v>
      </c>
      <c r="AM34" s="31">
        <v>25.986035000000005</v>
      </c>
      <c r="AN34" s="32">
        <f t="shared" si="17"/>
        <v>927.10783700000025</v>
      </c>
      <c r="AO34" s="35">
        <f t="shared" si="3"/>
        <v>9.639972978141606E-2</v>
      </c>
      <c r="AQ34" s="30">
        <v>41.12</v>
      </c>
      <c r="AR34" s="36">
        <f t="shared" si="18"/>
        <v>32.096919904805979</v>
      </c>
      <c r="AS34" s="36">
        <f t="shared" si="18"/>
        <v>9.0201920951940266</v>
      </c>
      <c r="AT34" s="30">
        <v>1.5250000000000001E-3</v>
      </c>
      <c r="AU34" s="30">
        <v>6.2521559999999976</v>
      </c>
      <c r="AV34" s="30">
        <v>6.2675790000000005</v>
      </c>
      <c r="AW34" s="30">
        <f t="shared" si="4"/>
        <v>41.456034447311822</v>
      </c>
      <c r="AX34" s="7"/>
      <c r="AY34" s="36">
        <v>27.849336356418881</v>
      </c>
      <c r="AZ34" s="36">
        <v>9.0201920951940266</v>
      </c>
      <c r="BA34" s="36">
        <v>4.2475835483870972</v>
      </c>
      <c r="BB34" s="36">
        <v>0</v>
      </c>
      <c r="BC34" s="7"/>
      <c r="BD34" s="32">
        <f t="shared" si="5"/>
        <v>1785.5986074861705</v>
      </c>
      <c r="BE34" s="32">
        <f t="shared" si="6"/>
        <v>1062.0122751884962</v>
      </c>
      <c r="BF34" s="7"/>
      <c r="BG34" s="30">
        <v>2.6110632942740661</v>
      </c>
      <c r="BH34" s="36">
        <v>1.7687794858053592</v>
      </c>
      <c r="BI34" s="36">
        <v>5.6081963544379594</v>
      </c>
      <c r="BJ34" s="28">
        <v>339.27115305110374</v>
      </c>
      <c r="BK34" s="28">
        <v>453.30086553045385</v>
      </c>
      <c r="BL34" s="28">
        <v>116.09992575686748</v>
      </c>
      <c r="BM34" s="30">
        <f t="shared" si="7"/>
        <v>2.664740231629398</v>
      </c>
      <c r="BN34" s="7"/>
      <c r="BO34" s="29">
        <f t="shared" si="8"/>
        <v>123.27313342507547</v>
      </c>
      <c r="BP34" s="29">
        <f t="shared" si="22"/>
        <v>3.5622905713151241</v>
      </c>
      <c r="BQ34" s="30">
        <f t="shared" si="23"/>
        <v>126.8354239963906</v>
      </c>
      <c r="BS34" s="31">
        <v>11.652971000000001</v>
      </c>
      <c r="BT34" s="31">
        <v>4.0322710000000006</v>
      </c>
      <c r="BU34" s="31">
        <v>0</v>
      </c>
      <c r="BV34" s="31">
        <v>0</v>
      </c>
      <c r="BW34" s="31">
        <v>99.201999999999998</v>
      </c>
      <c r="BX34" s="31">
        <v>0</v>
      </c>
      <c r="BY34" s="32">
        <f t="shared" si="9"/>
        <v>114.887242</v>
      </c>
      <c r="BZ34" s="31">
        <v>0</v>
      </c>
      <c r="CA34" s="31">
        <v>0</v>
      </c>
      <c r="CB34" s="31">
        <v>0</v>
      </c>
      <c r="CC34" s="31">
        <v>11.863168</v>
      </c>
      <c r="CD34" s="31">
        <v>73.39</v>
      </c>
      <c r="CE34" s="31"/>
      <c r="CF34" s="32">
        <f t="shared" si="19"/>
        <v>85.253168000000002</v>
      </c>
      <c r="CG34" s="7"/>
      <c r="CH34" s="31">
        <v>89.9</v>
      </c>
      <c r="CI34" s="31">
        <v>0</v>
      </c>
      <c r="CJ34" s="31">
        <v>0</v>
      </c>
      <c r="CK34" s="31">
        <v>77.45</v>
      </c>
      <c r="CL34" s="31">
        <v>0</v>
      </c>
      <c r="CM34" s="32">
        <f t="shared" si="20"/>
        <v>75.994486775999036</v>
      </c>
      <c r="CN34" s="31">
        <v>0</v>
      </c>
      <c r="CO34" s="31">
        <v>0</v>
      </c>
      <c r="CP34" s="31">
        <v>120</v>
      </c>
      <c r="CQ34" s="31">
        <v>17</v>
      </c>
      <c r="CR34" s="31">
        <v>0</v>
      </c>
      <c r="CS34" s="32">
        <f t="shared" si="10"/>
        <v>31.332679156274875</v>
      </c>
      <c r="CU34" s="61">
        <v>46.191976818415775</v>
      </c>
      <c r="CV34" s="61">
        <v>7.6119084824218577</v>
      </c>
      <c r="CW34" s="61">
        <v>1.5201905152184474</v>
      </c>
      <c r="CX34" s="62">
        <v>1.6759241839439261</v>
      </c>
      <c r="CY34" s="63">
        <v>57.000000000000007</v>
      </c>
      <c r="DA34" s="32">
        <v>2123.4548118279499</v>
      </c>
      <c r="DB34" s="30">
        <v>31.761933144999201</v>
      </c>
      <c r="DD34" s="50">
        <v>2227.6902490771599</v>
      </c>
      <c r="DE34" s="29">
        <f t="shared" si="21"/>
        <v>32.504417437472242</v>
      </c>
      <c r="DF34" s="51">
        <f t="shared" si="11"/>
        <v>0.57025293749951289</v>
      </c>
      <c r="DH34" s="33"/>
      <c r="DI34" s="32"/>
      <c r="DK34" s="50"/>
      <c r="DL34" s="50"/>
      <c r="DN34" s="31"/>
      <c r="DO34" s="31"/>
      <c r="DQ34" s="29"/>
      <c r="DR34" s="29"/>
      <c r="DT34" s="54"/>
      <c r="DU34" s="54"/>
      <c r="DV34" s="51"/>
      <c r="DX34" s="33"/>
      <c r="DY34" s="33"/>
      <c r="DZ34" s="33"/>
      <c r="EA34" s="33"/>
      <c r="EB34" s="33"/>
      <c r="EC34" s="33"/>
      <c r="ED34" s="33"/>
      <c r="EE34" s="32"/>
      <c r="EF34" s="33"/>
      <c r="EG34" s="33"/>
      <c r="EH34" s="33"/>
      <c r="EI34" s="32"/>
      <c r="EJ34" s="33"/>
      <c r="EK34" s="33"/>
      <c r="EL34" s="33"/>
      <c r="EM34" s="33"/>
      <c r="EN34" s="32"/>
      <c r="EO34" s="32"/>
      <c r="EP34" s="70">
        <f t="shared" si="12"/>
        <v>10164.80847</v>
      </c>
    </row>
    <row r="35" spans="1:146" x14ac:dyDescent="0.4">
      <c r="A35" s="22">
        <f t="shared" si="13"/>
        <v>2020</v>
      </c>
      <c r="B35" s="37">
        <v>43983</v>
      </c>
      <c r="C35" s="38">
        <f t="shared" si="14"/>
        <v>30</v>
      </c>
      <c r="D35" s="39">
        <v>68.80300000000129</v>
      </c>
      <c r="E35" s="39">
        <v>70.454999999999998</v>
      </c>
      <c r="F35" s="39">
        <v>38.31</v>
      </c>
      <c r="G35" s="39">
        <v>40.270000000000003</v>
      </c>
      <c r="H35" s="7"/>
      <c r="I35" s="40">
        <v>13.014999999999999</v>
      </c>
      <c r="J35" s="39">
        <v>22.8</v>
      </c>
      <c r="K35" s="39">
        <v>7.65</v>
      </c>
      <c r="L35" s="40">
        <v>11.600000000000001</v>
      </c>
      <c r="M35" s="22"/>
      <c r="N35" s="41">
        <v>5591.2619679999998</v>
      </c>
      <c r="O35" s="41">
        <v>2728.0438360000003</v>
      </c>
      <c r="P35" s="42">
        <f t="shared" si="15"/>
        <v>8319.3058039999996</v>
      </c>
      <c r="Q35" s="41">
        <v>907.8302480000001</v>
      </c>
      <c r="R35" s="41">
        <v>313.76083299999993</v>
      </c>
      <c r="S35" s="41">
        <v>1240.8179880000007</v>
      </c>
      <c r="T35" s="41"/>
      <c r="U35" s="42">
        <f t="shared" si="16"/>
        <v>2462.4090690000007</v>
      </c>
      <c r="V35" s="42">
        <f t="shared" si="0"/>
        <v>10781.714873000001</v>
      </c>
      <c r="W35" s="39">
        <v>2.1530399999999998</v>
      </c>
      <c r="X35" s="42">
        <f t="shared" si="1"/>
        <v>10783.867913</v>
      </c>
      <c r="Z35" s="42">
        <v>22114</v>
      </c>
      <c r="AB35" s="41">
        <v>6574.321594</v>
      </c>
      <c r="AC35" s="41">
        <v>926.71580700000004</v>
      </c>
      <c r="AD35" s="41">
        <v>3607.8857009999997</v>
      </c>
      <c r="AE35" s="41">
        <v>113.548596</v>
      </c>
      <c r="AF35" s="42">
        <f t="shared" si="2"/>
        <v>11222.471697999999</v>
      </c>
      <c r="AH35" s="41">
        <v>2692.1202369999996</v>
      </c>
      <c r="AI35" s="41">
        <v>58.835878999999991</v>
      </c>
      <c r="AJ35" s="41">
        <v>731.19630899999993</v>
      </c>
      <c r="AK35" s="41">
        <v>60.110686999999999</v>
      </c>
      <c r="AL35" s="41">
        <v>39.327231000000005</v>
      </c>
      <c r="AM35" s="41">
        <v>26.295358000000004</v>
      </c>
      <c r="AN35" s="42">
        <f t="shared" si="17"/>
        <v>915.76546399999984</v>
      </c>
      <c r="AO35" s="43">
        <f t="shared" si="3"/>
        <v>8.493690241181355E-2</v>
      </c>
      <c r="AQ35" s="40">
        <v>41.54</v>
      </c>
      <c r="AR35" s="44">
        <f t="shared" si="18"/>
        <v>22.623174909383476</v>
      </c>
      <c r="AS35" s="44">
        <f t="shared" si="18"/>
        <v>18.912070723949832</v>
      </c>
      <c r="AT35" s="40">
        <v>41.85841700000001</v>
      </c>
      <c r="AU35" s="40">
        <v>102.99677699999998</v>
      </c>
      <c r="AV35" s="40">
        <v>26.076015999999999</v>
      </c>
      <c r="AW35" s="40">
        <f t="shared" si="4"/>
        <v>47.233394125634916</v>
      </c>
      <c r="AX35" s="7"/>
      <c r="AY35" s="44">
        <v>16.890735242716808</v>
      </c>
      <c r="AZ35" s="44">
        <v>18.912070723949832</v>
      </c>
      <c r="BA35" s="44">
        <v>5.732439666666667</v>
      </c>
      <c r="BB35" s="44">
        <v>0</v>
      </c>
      <c r="BC35" s="7"/>
      <c r="BD35" s="38">
        <f t="shared" si="5"/>
        <v>1810.5009238554749</v>
      </c>
      <c r="BE35" s="38">
        <f t="shared" si="6"/>
        <v>1060.6233314699512</v>
      </c>
      <c r="BF35" s="7"/>
      <c r="BG35" s="40">
        <v>3.8104775704459288</v>
      </c>
      <c r="BH35" s="44">
        <v>2.5384758624214743</v>
      </c>
      <c r="BI35" s="44">
        <v>5.3320834033402376</v>
      </c>
      <c r="BJ35" s="38">
        <v>325.86350479115123</v>
      </c>
      <c r="BK35" s="38">
        <v>446.24263066620989</v>
      </c>
      <c r="BL35" s="38">
        <v>134.68491300548183</v>
      </c>
      <c r="BM35" s="40">
        <f t="shared" si="7"/>
        <v>4.5537611361270915</v>
      </c>
      <c r="BN35" s="7"/>
      <c r="BO35" s="39">
        <f t="shared" si="8"/>
        <v>175.87470919591544</v>
      </c>
      <c r="BP35" s="39">
        <f t="shared" si="22"/>
        <v>63.113729133740037</v>
      </c>
      <c r="BQ35" s="40">
        <f t="shared" si="23"/>
        <v>238.98843832965548</v>
      </c>
      <c r="BS35" s="41">
        <v>0</v>
      </c>
      <c r="BT35" s="41">
        <v>0</v>
      </c>
      <c r="BU35" s="41">
        <v>0.14904000000000001</v>
      </c>
      <c r="BV35" s="41">
        <v>0</v>
      </c>
      <c r="BW35" s="41">
        <v>2.004</v>
      </c>
      <c r="BX35" s="41">
        <v>0</v>
      </c>
      <c r="BY35" s="42">
        <f t="shared" si="9"/>
        <v>2.1530399999999998</v>
      </c>
      <c r="BZ35" s="41">
        <v>0</v>
      </c>
      <c r="CA35" s="41">
        <v>0</v>
      </c>
      <c r="CB35" s="41">
        <v>0</v>
      </c>
      <c r="CC35" s="41">
        <v>12.230596</v>
      </c>
      <c r="CD35" s="41">
        <v>101.318</v>
      </c>
      <c r="CE35" s="41"/>
      <c r="CF35" s="42">
        <f t="shared" si="19"/>
        <v>113.548596</v>
      </c>
      <c r="CG35" s="7"/>
      <c r="CH35" s="41">
        <v>0</v>
      </c>
      <c r="CI35" s="41">
        <v>0</v>
      </c>
      <c r="CJ35" s="41">
        <v>0</v>
      </c>
      <c r="CK35" s="41">
        <v>99.46</v>
      </c>
      <c r="CL35" s="41">
        <v>0</v>
      </c>
      <c r="CM35" s="42">
        <f t="shared" si="20"/>
        <v>92.575075242447895</v>
      </c>
      <c r="CN35" s="41">
        <v>0</v>
      </c>
      <c r="CO35" s="41">
        <v>0</v>
      </c>
      <c r="CP35" s="41">
        <v>120</v>
      </c>
      <c r="CQ35" s="41">
        <v>19</v>
      </c>
      <c r="CR35" s="41">
        <v>0</v>
      </c>
      <c r="CS35" s="42">
        <f t="shared" si="10"/>
        <v>29.878956143147732</v>
      </c>
      <c r="CU35" s="64">
        <v>51.977786596664622</v>
      </c>
      <c r="CV35" s="64">
        <v>7.8690883700398038</v>
      </c>
      <c r="CW35" s="64">
        <v>3.0917611326906891</v>
      </c>
      <c r="CX35" s="65">
        <v>1.5413639006048896</v>
      </c>
      <c r="CY35" s="66">
        <v>64.48</v>
      </c>
      <c r="DA35" s="42">
        <v>3812.7823472222199</v>
      </c>
      <c r="DB35" s="40">
        <v>55.3506585702048</v>
      </c>
      <c r="DD35" s="42">
        <v>2215.4270736905701</v>
      </c>
      <c r="DE35" s="39">
        <f t="shared" si="21"/>
        <v>31.444568500327446</v>
      </c>
      <c r="DF35" s="55">
        <f t="shared" si="11"/>
        <v>0.48766390354105837</v>
      </c>
      <c r="DH35" s="39"/>
      <c r="DI35" s="42"/>
      <c r="DK35" s="42"/>
      <c r="DL35" s="42"/>
      <c r="DN35" s="41"/>
      <c r="DO35" s="41"/>
      <c r="DQ35" s="39"/>
      <c r="DR35" s="39"/>
      <c r="DT35" s="56"/>
      <c r="DU35" s="56"/>
      <c r="DV35" s="55"/>
      <c r="DX35" s="39"/>
      <c r="DY35" s="39"/>
      <c r="DZ35" s="39"/>
      <c r="EA35" s="39"/>
      <c r="EB35" s="39"/>
      <c r="EC35" s="39"/>
      <c r="ED35" s="39"/>
      <c r="EE35" s="42"/>
      <c r="EF35" s="39"/>
      <c r="EG35" s="39"/>
      <c r="EH35" s="39"/>
      <c r="EI35" s="42"/>
      <c r="EJ35" s="39"/>
      <c r="EK35" s="39"/>
      <c r="EL35" s="39"/>
      <c r="EM35" s="39"/>
      <c r="EN35" s="42"/>
      <c r="EO35" s="39"/>
      <c r="EP35" s="71">
        <f t="shared" si="12"/>
        <v>11222.471697999999</v>
      </c>
    </row>
    <row r="36" spans="1:146" x14ac:dyDescent="0.4">
      <c r="A36" s="26">
        <f t="shared" si="13"/>
        <v>2020</v>
      </c>
      <c r="B36" s="27">
        <v>44013</v>
      </c>
      <c r="C36" s="28">
        <f t="shared" si="14"/>
        <v>31</v>
      </c>
      <c r="D36" s="29">
        <v>70.513064516130015</v>
      </c>
      <c r="E36" s="29">
        <v>72.314999999999998</v>
      </c>
      <c r="F36" s="29">
        <v>40.71</v>
      </c>
      <c r="G36" s="29">
        <v>43.24</v>
      </c>
      <c r="H36" s="7"/>
      <c r="I36" s="30">
        <v>10.867741935483872</v>
      </c>
      <c r="J36" s="29">
        <v>18.100000000000001</v>
      </c>
      <c r="K36" s="29">
        <v>7.3</v>
      </c>
      <c r="L36" s="30">
        <v>11.100000000000001</v>
      </c>
      <c r="M36" s="22"/>
      <c r="N36" s="31">
        <v>6521.3155600000009</v>
      </c>
      <c r="O36" s="31">
        <v>3059.3651290000007</v>
      </c>
      <c r="P36" s="32">
        <f t="shared" si="15"/>
        <v>9580.6806890000007</v>
      </c>
      <c r="Q36" s="31">
        <v>942.04294699999991</v>
      </c>
      <c r="R36" s="31">
        <v>317.558742</v>
      </c>
      <c r="S36" s="31">
        <v>1343.5702629999992</v>
      </c>
      <c r="T36" s="31"/>
      <c r="U36" s="32">
        <f t="shared" si="16"/>
        <v>2603.1719519999988</v>
      </c>
      <c r="V36" s="32">
        <f t="shared" si="0"/>
        <v>12183.852640999999</v>
      </c>
      <c r="W36" s="33">
        <v>1.08E-3</v>
      </c>
      <c r="X36" s="32">
        <f t="shared" si="1"/>
        <v>12183.853720999999</v>
      </c>
      <c r="Z36" s="32">
        <v>23559</v>
      </c>
      <c r="AB36" s="34">
        <v>6967.0176619999993</v>
      </c>
      <c r="AC36" s="34">
        <v>736.69518299999993</v>
      </c>
      <c r="AD36" s="34">
        <v>4501.8039970000009</v>
      </c>
      <c r="AE36" s="34">
        <v>475.79544599999997</v>
      </c>
      <c r="AF36" s="32">
        <f t="shared" si="2"/>
        <v>12681.312288000001</v>
      </c>
      <c r="AH36" s="31">
        <v>3546.6547989999999</v>
      </c>
      <c r="AI36" s="31">
        <v>59.014772000000008</v>
      </c>
      <c r="AJ36" s="31">
        <v>756.55137300000024</v>
      </c>
      <c r="AK36" s="31">
        <v>67.207993000000002</v>
      </c>
      <c r="AL36" s="31">
        <v>44.429677000000005</v>
      </c>
      <c r="AM36" s="31">
        <v>27.945383</v>
      </c>
      <c r="AN36" s="32">
        <f t="shared" si="17"/>
        <v>955.14919800000018</v>
      </c>
      <c r="AO36" s="35">
        <f t="shared" si="3"/>
        <v>7.8394677459067294E-2</v>
      </c>
      <c r="AQ36" s="30">
        <v>29.7</v>
      </c>
      <c r="AR36" s="36">
        <f t="shared" si="18"/>
        <v>18.894085597551349</v>
      </c>
      <c r="AS36" s="36">
        <f t="shared" si="18"/>
        <v>10.805484886319624</v>
      </c>
      <c r="AT36" s="30">
        <v>176.77473699999996</v>
      </c>
      <c r="AU36" s="30">
        <v>397.60855899999996</v>
      </c>
      <c r="AV36" s="30">
        <v>115.73401999999999</v>
      </c>
      <c r="AW36" s="30">
        <f t="shared" si="4"/>
        <v>51.853754096850992</v>
      </c>
      <c r="AX36" s="7"/>
      <c r="AY36" s="36">
        <v>11.208213339486832</v>
      </c>
      <c r="AZ36" s="36">
        <v>10.805484886319624</v>
      </c>
      <c r="BA36" s="36">
        <v>7.6858722580645162</v>
      </c>
      <c r="BB36" s="36">
        <v>0</v>
      </c>
      <c r="BC36" s="7"/>
      <c r="BD36" s="32">
        <f t="shared" si="5"/>
        <v>1938.0914792950041</v>
      </c>
      <c r="BE36" s="32">
        <f t="shared" si="6"/>
        <v>1064.7728925970282</v>
      </c>
      <c r="BF36" s="7"/>
      <c r="BG36" s="30">
        <v>3.1987527844000589</v>
      </c>
      <c r="BH36" s="36">
        <v>2.4687512894679737</v>
      </c>
      <c r="BI36" s="36">
        <v>4.4752073698902155</v>
      </c>
      <c r="BJ36" s="28">
        <v>329.64378846951433</v>
      </c>
      <c r="BK36" s="28">
        <v>414.08735394816284</v>
      </c>
      <c r="BL36" s="28">
        <v>134.68491300548183</v>
      </c>
      <c r="BM36" s="30">
        <f t="shared" si="7"/>
        <v>5.8382101978326917</v>
      </c>
      <c r="BN36" s="7"/>
      <c r="BO36" s="29">
        <f t="shared" si="8"/>
        <v>109.07746994804201</v>
      </c>
      <c r="BP36" s="29">
        <f t="shared" si="22"/>
        <v>238.50499652930867</v>
      </c>
      <c r="BQ36" s="30">
        <f t="shared" si="23"/>
        <v>347.58246647735069</v>
      </c>
      <c r="BS36" s="31">
        <v>0</v>
      </c>
      <c r="BT36" s="31">
        <v>0</v>
      </c>
      <c r="BU36" s="31">
        <v>1.08E-3</v>
      </c>
      <c r="BV36" s="31">
        <v>0</v>
      </c>
      <c r="BW36" s="31">
        <v>0</v>
      </c>
      <c r="BX36" s="31">
        <v>0</v>
      </c>
      <c r="BY36" s="32">
        <f t="shared" si="9"/>
        <v>1.08E-3</v>
      </c>
      <c r="BZ36" s="31">
        <v>183.28788300000002</v>
      </c>
      <c r="CA36" s="31">
        <v>54.335611</v>
      </c>
      <c r="CB36" s="31">
        <v>0</v>
      </c>
      <c r="CC36" s="31">
        <v>12.959111999999999</v>
      </c>
      <c r="CD36" s="31">
        <v>225.21284</v>
      </c>
      <c r="CE36" s="31"/>
      <c r="CF36" s="32">
        <f t="shared" si="19"/>
        <v>475.79544600000003</v>
      </c>
      <c r="CG36" s="7"/>
      <c r="CH36" s="31">
        <v>0</v>
      </c>
      <c r="CI36" s="31">
        <v>0</v>
      </c>
      <c r="CJ36" s="31">
        <v>0</v>
      </c>
      <c r="CK36" s="31">
        <v>0</v>
      </c>
      <c r="CL36" s="31">
        <v>0</v>
      </c>
      <c r="CM36" s="32">
        <f t="shared" si="20"/>
        <v>0</v>
      </c>
      <c r="CN36" s="31">
        <v>90</v>
      </c>
      <c r="CO36" s="31">
        <v>0</v>
      </c>
      <c r="CP36" s="31">
        <v>120</v>
      </c>
      <c r="CQ36" s="31">
        <v>59.5</v>
      </c>
      <c r="CR36" s="31">
        <v>0</v>
      </c>
      <c r="CS36" s="32">
        <f t="shared" si="10"/>
        <v>66.102286506542143</v>
      </c>
      <c r="CU36" s="61">
        <v>52.723957671600168</v>
      </c>
      <c r="CV36" s="61">
        <v>5.781001273467659</v>
      </c>
      <c r="CW36" s="61">
        <v>6.0390465672436546</v>
      </c>
      <c r="CX36" s="62">
        <v>1.4559944876885194</v>
      </c>
      <c r="CY36" s="63">
        <v>66</v>
      </c>
      <c r="DA36" s="32">
        <v>6440.4215053763601</v>
      </c>
      <c r="DB36" s="30">
        <v>91.336088277177296</v>
      </c>
      <c r="DD36" s="50">
        <v>2191.3325314487302</v>
      </c>
      <c r="DE36" s="29">
        <f t="shared" si="21"/>
        <v>30.302600172145894</v>
      </c>
      <c r="DF36" s="51">
        <f t="shared" si="11"/>
        <v>0.45913030563857415</v>
      </c>
      <c r="DH36" s="33"/>
      <c r="DI36" s="32"/>
      <c r="DK36" s="50"/>
      <c r="DL36" s="50"/>
      <c r="DN36" s="31"/>
      <c r="DO36" s="31"/>
      <c r="DQ36" s="29"/>
      <c r="DR36" s="29"/>
      <c r="DT36" s="54"/>
      <c r="DU36" s="54"/>
      <c r="DV36" s="51"/>
      <c r="DX36" s="33"/>
      <c r="DY36" s="33"/>
      <c r="DZ36" s="33"/>
      <c r="EA36" s="33"/>
      <c r="EB36" s="33"/>
      <c r="EC36" s="33"/>
      <c r="ED36" s="33"/>
      <c r="EE36" s="32"/>
      <c r="EF36" s="33"/>
      <c r="EG36" s="33"/>
      <c r="EH36" s="33"/>
      <c r="EI36" s="32"/>
      <c r="EJ36" s="33"/>
      <c r="EK36" s="33"/>
      <c r="EL36" s="33"/>
      <c r="EM36" s="33"/>
      <c r="EN36" s="32"/>
      <c r="EO36" s="32"/>
      <c r="EP36" s="70">
        <f t="shared" si="12"/>
        <v>12681.312288000001</v>
      </c>
    </row>
    <row r="37" spans="1:146" x14ac:dyDescent="0.4">
      <c r="A37" s="22">
        <f t="shared" si="13"/>
        <v>2020</v>
      </c>
      <c r="B37" s="37">
        <v>44044</v>
      </c>
      <c r="C37" s="38">
        <f t="shared" si="14"/>
        <v>31</v>
      </c>
      <c r="D37" s="39">
        <v>72.444032258063672</v>
      </c>
      <c r="E37" s="39">
        <v>74.174999999999997</v>
      </c>
      <c r="F37" s="39">
        <v>42.34</v>
      </c>
      <c r="G37" s="39">
        <v>44.74</v>
      </c>
      <c r="H37" s="7"/>
      <c r="I37" s="40">
        <v>14.127419354838709</v>
      </c>
      <c r="J37" s="39">
        <v>21.3</v>
      </c>
      <c r="K37" s="39">
        <v>7.8</v>
      </c>
      <c r="L37" s="40">
        <v>12.600000000000001</v>
      </c>
      <c r="M37" s="22"/>
      <c r="N37" s="41">
        <v>5267.3417520000012</v>
      </c>
      <c r="O37" s="41">
        <v>2811.7778340000004</v>
      </c>
      <c r="P37" s="42">
        <f t="shared" si="15"/>
        <v>8079.1195860000016</v>
      </c>
      <c r="Q37" s="41">
        <v>929.98241500000006</v>
      </c>
      <c r="R37" s="41">
        <v>335.85984300000007</v>
      </c>
      <c r="S37" s="41">
        <v>1383.4173140000005</v>
      </c>
      <c r="T37" s="41"/>
      <c r="U37" s="42">
        <f t="shared" si="16"/>
        <v>2649.2595720000008</v>
      </c>
      <c r="V37" s="42">
        <f t="shared" si="0"/>
        <v>10728.379158000003</v>
      </c>
      <c r="W37" s="39">
        <v>0.42174</v>
      </c>
      <c r="X37" s="42">
        <f t="shared" si="1"/>
        <v>10728.800898000003</v>
      </c>
      <c r="Z37" s="42">
        <v>22430</v>
      </c>
      <c r="AB37" s="41">
        <v>6346.7112450000004</v>
      </c>
      <c r="AC37" s="41">
        <v>891.20074399999999</v>
      </c>
      <c r="AD37" s="41">
        <v>3730.040688</v>
      </c>
      <c r="AE37" s="41">
        <v>150.88812999999999</v>
      </c>
      <c r="AF37" s="42">
        <f t="shared" si="2"/>
        <v>11118.840807</v>
      </c>
      <c r="AH37" s="41">
        <v>2549.8905749999999</v>
      </c>
      <c r="AI37" s="41">
        <v>86.390119000000013</v>
      </c>
      <c r="AJ37" s="41">
        <v>930.06014500000003</v>
      </c>
      <c r="AK37" s="41">
        <v>86.686061000000009</v>
      </c>
      <c r="AL37" s="41">
        <v>49.484013999999995</v>
      </c>
      <c r="AM37" s="41">
        <v>27.529773999999996</v>
      </c>
      <c r="AN37" s="42">
        <f t="shared" si="17"/>
        <v>1180.1501130000001</v>
      </c>
      <c r="AO37" s="43">
        <f t="shared" si="3"/>
        <v>0.11000264770843586</v>
      </c>
      <c r="AQ37" s="40">
        <v>39.19</v>
      </c>
      <c r="AR37" s="44">
        <f t="shared" si="18"/>
        <v>24.230213479737809</v>
      </c>
      <c r="AS37" s="44">
        <f t="shared" si="18"/>
        <v>14.957607939617031</v>
      </c>
      <c r="AT37" s="40">
        <v>61.311947000000011</v>
      </c>
      <c r="AU37" s="40">
        <v>66.880858000000003</v>
      </c>
      <c r="AV37" s="40">
        <v>69.874645000000001</v>
      </c>
      <c r="AW37" s="40">
        <f t="shared" si="4"/>
        <v>45.150130281259599</v>
      </c>
      <c r="AX37" s="7"/>
      <c r="AY37" s="44">
        <v>15.430120899092648</v>
      </c>
      <c r="AZ37" s="44">
        <v>14.957607939617031</v>
      </c>
      <c r="BA37" s="44">
        <v>8.8000925806451615</v>
      </c>
      <c r="BB37" s="44">
        <v>0</v>
      </c>
      <c r="BC37" s="7"/>
      <c r="BD37" s="38">
        <f t="shared" si="5"/>
        <v>1852.4702749793996</v>
      </c>
      <c r="BE37" s="38">
        <f t="shared" si="6"/>
        <v>1057.4028470520216</v>
      </c>
      <c r="BF37" s="7"/>
      <c r="BG37" s="40">
        <v>3.365790919213596</v>
      </c>
      <c r="BH37" s="44">
        <v>2.649096394784844</v>
      </c>
      <c r="BI37" s="44">
        <v>4.5267827968434933</v>
      </c>
      <c r="BJ37" s="38">
        <v>345.96554253734615</v>
      </c>
      <c r="BK37" s="38">
        <v>384.3160717079835</v>
      </c>
      <c r="BL37" s="38">
        <v>134.68491300548183</v>
      </c>
      <c r="BM37" s="40">
        <f t="shared" si="7"/>
        <v>4.0080440363304159</v>
      </c>
      <c r="BN37" s="7"/>
      <c r="BO37" s="39">
        <f t="shared" si="8"/>
        <v>151.44687888308911</v>
      </c>
      <c r="BP37" s="39">
        <f t="shared" si="22"/>
        <v>56.326270110009403</v>
      </c>
      <c r="BQ37" s="40">
        <f t="shared" si="23"/>
        <v>207.77314899309852</v>
      </c>
      <c r="BS37" s="41">
        <v>0</v>
      </c>
      <c r="BT37" s="41">
        <v>0</v>
      </c>
      <c r="BU37" s="41">
        <v>0.42174</v>
      </c>
      <c r="BV37" s="41">
        <v>0</v>
      </c>
      <c r="BW37" s="41">
        <v>0</v>
      </c>
      <c r="BX37" s="41">
        <v>0</v>
      </c>
      <c r="BY37" s="42">
        <f t="shared" si="9"/>
        <v>0.42174</v>
      </c>
      <c r="BZ37" s="41">
        <v>78.556515000000005</v>
      </c>
      <c r="CA37" s="41">
        <v>1.0277269999999998</v>
      </c>
      <c r="CB37" s="41">
        <v>0</v>
      </c>
      <c r="CC37" s="41">
        <v>12.505888000000001</v>
      </c>
      <c r="CD37" s="41">
        <v>58.798000000000002</v>
      </c>
      <c r="CE37" s="41"/>
      <c r="CF37" s="42">
        <f t="shared" si="19"/>
        <v>150.88812999999999</v>
      </c>
      <c r="CG37" s="7"/>
      <c r="CH37" s="41">
        <v>0</v>
      </c>
      <c r="CI37" s="41">
        <v>0</v>
      </c>
      <c r="CJ37" s="41">
        <v>0</v>
      </c>
      <c r="CK37" s="41">
        <v>0</v>
      </c>
      <c r="CL37" s="41">
        <v>0</v>
      </c>
      <c r="CM37" s="42">
        <f t="shared" si="20"/>
        <v>0</v>
      </c>
      <c r="CN37" s="41">
        <v>70</v>
      </c>
      <c r="CO37" s="41">
        <v>0</v>
      </c>
      <c r="CP37" s="41">
        <v>120</v>
      </c>
      <c r="CQ37" s="41">
        <v>23.3</v>
      </c>
      <c r="CR37" s="41">
        <v>0</v>
      </c>
      <c r="CS37" s="42">
        <f t="shared" si="10"/>
        <v>55.469280519282741</v>
      </c>
      <c r="CU37" s="64">
        <v>52.34492645682149</v>
      </c>
      <c r="CV37" s="64">
        <v>7.8082225131297269</v>
      </c>
      <c r="CW37" s="64">
        <v>2.3748882994319707</v>
      </c>
      <c r="CX37" s="65">
        <v>1.4919627306168126</v>
      </c>
      <c r="CY37" s="66">
        <v>64.02000000000001</v>
      </c>
      <c r="DA37" s="42">
        <v>4664.6310483871002</v>
      </c>
      <c r="DB37" s="40">
        <v>64.413707479880003</v>
      </c>
      <c r="DD37" s="42">
        <v>2228.7933356661401</v>
      </c>
      <c r="DE37" s="39">
        <f t="shared" si="21"/>
        <v>30.047769944942907</v>
      </c>
      <c r="DF37" s="55">
        <f t="shared" si="11"/>
        <v>0.46934973359798349</v>
      </c>
      <c r="DH37" s="39"/>
      <c r="DI37" s="42"/>
      <c r="DK37" s="42"/>
      <c r="DL37" s="42"/>
      <c r="DN37" s="41"/>
      <c r="DO37" s="41"/>
      <c r="DQ37" s="39"/>
      <c r="DR37" s="39"/>
      <c r="DT37" s="56"/>
      <c r="DU37" s="56"/>
      <c r="DV37" s="55"/>
      <c r="DX37" s="39"/>
      <c r="DY37" s="39"/>
      <c r="DZ37" s="39"/>
      <c r="EA37" s="39"/>
      <c r="EB37" s="39"/>
      <c r="EC37" s="39"/>
      <c r="ED37" s="39"/>
      <c r="EE37" s="42"/>
      <c r="EF37" s="39"/>
      <c r="EG37" s="39"/>
      <c r="EH37" s="39"/>
      <c r="EI37" s="42"/>
      <c r="EJ37" s="39"/>
      <c r="EK37" s="39"/>
      <c r="EL37" s="39"/>
      <c r="EM37" s="39"/>
      <c r="EN37" s="42"/>
      <c r="EO37" s="39"/>
      <c r="EP37" s="71">
        <f t="shared" si="12"/>
        <v>11118.840807</v>
      </c>
    </row>
    <row r="38" spans="1:146" x14ac:dyDescent="0.4">
      <c r="A38" s="26">
        <f t="shared" si="13"/>
        <v>2020</v>
      </c>
      <c r="B38" s="27">
        <v>44075</v>
      </c>
      <c r="C38" s="28">
        <f t="shared" si="14"/>
        <v>30</v>
      </c>
      <c r="D38" s="29">
        <v>74.409666666668116</v>
      </c>
      <c r="E38" s="29">
        <v>76.174999999999997</v>
      </c>
      <c r="F38" s="29">
        <v>39.630000000000003</v>
      </c>
      <c r="G38" s="29">
        <v>40.909999999999997</v>
      </c>
      <c r="H38" s="7"/>
      <c r="I38" s="30">
        <v>14.573333333333331</v>
      </c>
      <c r="J38" s="29">
        <v>21.1</v>
      </c>
      <c r="K38" s="29">
        <v>8.65</v>
      </c>
      <c r="L38" s="30">
        <v>14.5</v>
      </c>
      <c r="M38" s="22"/>
      <c r="N38" s="31">
        <v>4693.4620340000038</v>
      </c>
      <c r="O38" s="31">
        <v>2710.946164</v>
      </c>
      <c r="P38" s="32">
        <f t="shared" si="15"/>
        <v>7404.4081980000037</v>
      </c>
      <c r="Q38" s="31">
        <v>928.01681599999995</v>
      </c>
      <c r="R38" s="31">
        <v>333.63036400000004</v>
      </c>
      <c r="S38" s="31">
        <v>1378.9674720000014</v>
      </c>
      <c r="T38" s="31"/>
      <c r="U38" s="32">
        <f t="shared" si="16"/>
        <v>2640.6146520000011</v>
      </c>
      <c r="V38" s="32">
        <f t="shared" ref="V38:V69" si="24">N38+O38+U38</f>
        <v>10045.022850000005</v>
      </c>
      <c r="W38" s="33">
        <v>45.166844000000005</v>
      </c>
      <c r="X38" s="32">
        <f t="shared" ref="X38:X69" si="25">V38+W38</f>
        <v>10090.189694000004</v>
      </c>
      <c r="Z38" s="32">
        <v>22683</v>
      </c>
      <c r="AB38" s="34">
        <v>5878.4634400000004</v>
      </c>
      <c r="AC38" s="34">
        <v>880.14257900000007</v>
      </c>
      <c r="AD38" s="34">
        <v>3586.1860170000004</v>
      </c>
      <c r="AE38" s="34">
        <v>77.889862999999991</v>
      </c>
      <c r="AF38" s="32">
        <f t="shared" si="2"/>
        <v>10422.681899000001</v>
      </c>
      <c r="AH38" s="31">
        <v>2416.8281059999999</v>
      </c>
      <c r="AI38" s="31">
        <v>114.03367099999998</v>
      </c>
      <c r="AJ38" s="31">
        <v>852.37432100000024</v>
      </c>
      <c r="AK38" s="31">
        <v>125.41153500000001</v>
      </c>
      <c r="AL38" s="31">
        <v>51.428547000000002</v>
      </c>
      <c r="AM38" s="31">
        <v>26.109836999999999</v>
      </c>
      <c r="AN38" s="32">
        <f t="shared" si="17"/>
        <v>1169.3579110000003</v>
      </c>
      <c r="AO38" s="35">
        <f t="shared" ref="AO38:AO69" si="26">AN38/V38</f>
        <v>0.11641167257275077</v>
      </c>
      <c r="AQ38" s="30">
        <v>38.68</v>
      </c>
      <c r="AR38" s="36">
        <f t="shared" si="18"/>
        <v>26.648346325384548</v>
      </c>
      <c r="AS38" s="36">
        <f t="shared" si="18"/>
        <v>12.033524041282124</v>
      </c>
      <c r="AT38" s="30">
        <v>16.665863999999999</v>
      </c>
      <c r="AU38" s="30">
        <v>55.424459999999989</v>
      </c>
      <c r="AV38" s="30">
        <v>14.113550000000002</v>
      </c>
      <c r="AW38" s="30">
        <f t="shared" ref="AW38:AW69" si="27">+AQ38+(AT38*9800+AU38*8580+AV38*5400)/8400/C38</f>
        <v>41.517621047619045</v>
      </c>
      <c r="AX38" s="7"/>
      <c r="AY38" s="36">
        <v>19.148190325384547</v>
      </c>
      <c r="AZ38" s="36">
        <v>12.033524041282124</v>
      </c>
      <c r="BA38" s="36">
        <v>7.5001560000000005</v>
      </c>
      <c r="BB38" s="36">
        <v>0</v>
      </c>
      <c r="BC38" s="7"/>
      <c r="BD38" s="32">
        <f t="shared" ref="BD38:BD69" si="28">+(AW38*C38*8400)/AB38</f>
        <v>1779.7917110121548</v>
      </c>
      <c r="BE38" s="32">
        <f t="shared" ref="BE38:BE69" si="29">+(AW38*C38*8400)/AF38</f>
        <v>1003.8146232788523</v>
      </c>
      <c r="BF38" s="7"/>
      <c r="BG38" s="30">
        <v>3.2351297718183947</v>
      </c>
      <c r="BH38" s="36">
        <v>2.5717787306331368</v>
      </c>
      <c r="BI38" s="36">
        <v>4.7041265694452479</v>
      </c>
      <c r="BJ38" s="28">
        <v>344.33082072114922</v>
      </c>
      <c r="BK38" s="28">
        <v>373.79156072427918</v>
      </c>
      <c r="BL38" s="28">
        <v>134.68491300548183</v>
      </c>
      <c r="BM38" s="30">
        <f t="shared" ref="BM38:BM69" si="30">+BQ38/(AW38*C38)*1000*0.027</f>
        <v>3.6287195468414652</v>
      </c>
      <c r="BN38" s="7"/>
      <c r="BO38" s="29">
        <f t="shared" ref="BO38:BO69" si="31">+BG38/0.027*AQ38*C38/1000</f>
        <v>139.0386884154839</v>
      </c>
      <c r="BP38" s="29">
        <f t="shared" si="22"/>
        <v>28.356648288795949</v>
      </c>
      <c r="BQ38" s="30">
        <f t="shared" si="23"/>
        <v>167.39533670427986</v>
      </c>
      <c r="BS38" s="31">
        <v>0</v>
      </c>
      <c r="BT38" s="31">
        <v>45.028604000000009</v>
      </c>
      <c r="BU38" s="31">
        <v>0.13824</v>
      </c>
      <c r="BV38" s="31">
        <v>0</v>
      </c>
      <c r="BW38" s="31">
        <v>0</v>
      </c>
      <c r="BX38" s="31">
        <v>0</v>
      </c>
      <c r="BY38" s="32">
        <f t="shared" si="9"/>
        <v>45.166844000000012</v>
      </c>
      <c r="BZ38" s="31">
        <v>31.859968000000006</v>
      </c>
      <c r="CA38" s="31">
        <v>9.9929999999999984E-3</v>
      </c>
      <c r="CB38" s="31">
        <v>0</v>
      </c>
      <c r="CC38" s="31">
        <v>13.320971999999999</v>
      </c>
      <c r="CD38" s="31">
        <v>32.698929999999997</v>
      </c>
      <c r="CE38" s="31"/>
      <c r="CF38" s="32">
        <f t="shared" si="19"/>
        <v>77.889863000000005</v>
      </c>
      <c r="CG38" s="7"/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2">
        <f t="shared" si="20"/>
        <v>0</v>
      </c>
      <c r="CN38" s="31">
        <v>68</v>
      </c>
      <c r="CO38" s="31">
        <v>0</v>
      </c>
      <c r="CP38" s="31">
        <v>120</v>
      </c>
      <c r="CQ38" s="31">
        <v>16.899999999999999</v>
      </c>
      <c r="CR38" s="31">
        <v>0</v>
      </c>
      <c r="CS38" s="32">
        <f t="shared" si="10"/>
        <v>55.432198937106875</v>
      </c>
      <c r="CU38" s="61">
        <v>46.69629029782346</v>
      </c>
      <c r="CV38" s="61">
        <v>6.5942513863141228</v>
      </c>
      <c r="CW38" s="61">
        <v>2.196522252083335</v>
      </c>
      <c r="CX38" s="62">
        <v>1.4829360637790885</v>
      </c>
      <c r="CY38" s="63">
        <v>56.97</v>
      </c>
      <c r="DA38" s="32">
        <v>2781.2958472222199</v>
      </c>
      <c r="DB38" s="30">
        <v>37.449301113954498</v>
      </c>
      <c r="DD38" s="50">
        <v>2260.9745020003202</v>
      </c>
      <c r="DE38" s="29">
        <f t="shared" si="21"/>
        <v>29.681319356748542</v>
      </c>
      <c r="DF38" s="51">
        <f t="shared" ref="DF38:DF69" si="32">+DE38/CY38</f>
        <v>0.52099911105403796</v>
      </c>
      <c r="DH38" s="33"/>
      <c r="DI38" s="32"/>
      <c r="DK38" s="50"/>
      <c r="DL38" s="50"/>
      <c r="DN38" s="31"/>
      <c r="DO38" s="31"/>
      <c r="DQ38" s="29"/>
      <c r="DR38" s="29"/>
      <c r="DT38" s="54"/>
      <c r="DU38" s="54"/>
      <c r="DV38" s="51"/>
      <c r="DX38" s="33"/>
      <c r="DY38" s="33"/>
      <c r="DZ38" s="33"/>
      <c r="EA38" s="33"/>
      <c r="EB38" s="33"/>
      <c r="EC38" s="33"/>
      <c r="ED38" s="33"/>
      <c r="EE38" s="32"/>
      <c r="EF38" s="33"/>
      <c r="EG38" s="33"/>
      <c r="EH38" s="33"/>
      <c r="EI38" s="32"/>
      <c r="EJ38" s="33"/>
      <c r="EK38" s="33"/>
      <c r="EL38" s="33"/>
      <c r="EM38" s="33"/>
      <c r="EN38" s="32"/>
      <c r="EO38" s="32"/>
      <c r="EP38" s="70">
        <f t="shared" ref="EP38:EP69" si="33">AF38</f>
        <v>10422.681899000001</v>
      </c>
    </row>
    <row r="39" spans="1:146" x14ac:dyDescent="0.4">
      <c r="A39" s="22">
        <f t="shared" si="13"/>
        <v>2020</v>
      </c>
      <c r="B39" s="37">
        <v>44105</v>
      </c>
      <c r="C39" s="38">
        <f t="shared" si="14"/>
        <v>31</v>
      </c>
      <c r="D39" s="39">
        <v>76.57758064516014</v>
      </c>
      <c r="E39" s="39">
        <v>78.328299999999999</v>
      </c>
      <c r="F39" s="39">
        <v>39.4</v>
      </c>
      <c r="G39" s="39">
        <v>40.19</v>
      </c>
      <c r="H39" s="7"/>
      <c r="I39" s="40">
        <v>17.241935483870968</v>
      </c>
      <c r="J39" s="39">
        <v>25.9</v>
      </c>
      <c r="K39" s="39">
        <v>9.65</v>
      </c>
      <c r="L39" s="40">
        <v>17.3</v>
      </c>
      <c r="M39" s="22"/>
      <c r="N39" s="41">
        <v>4428.4815250000011</v>
      </c>
      <c r="O39" s="41">
        <v>2827.7204590000006</v>
      </c>
      <c r="P39" s="42">
        <f t="shared" si="15"/>
        <v>7256.2019840000012</v>
      </c>
      <c r="Q39" s="41">
        <v>931.02011300000015</v>
      </c>
      <c r="R39" s="41">
        <v>339.19991999999996</v>
      </c>
      <c r="S39" s="41">
        <v>1487.4220009999985</v>
      </c>
      <c r="T39" s="41"/>
      <c r="U39" s="42">
        <f t="shared" si="16"/>
        <v>2757.6420339999986</v>
      </c>
      <c r="V39" s="42">
        <f t="shared" si="24"/>
        <v>10013.844018</v>
      </c>
      <c r="W39" s="39">
        <v>357.46434699999998</v>
      </c>
      <c r="X39" s="42">
        <f t="shared" si="25"/>
        <v>10371.308364999999</v>
      </c>
      <c r="Z39" s="42">
        <v>19659</v>
      </c>
      <c r="AB39" s="41">
        <v>6510.1080310000007</v>
      </c>
      <c r="AC39" s="41">
        <v>690.81455600000004</v>
      </c>
      <c r="AD39" s="41">
        <v>3493.9949179999999</v>
      </c>
      <c r="AE39" s="41">
        <v>52.043312</v>
      </c>
      <c r="AF39" s="42">
        <f t="shared" si="2"/>
        <v>10746.960817000001</v>
      </c>
      <c r="AH39" s="41">
        <v>2221.0542479999999</v>
      </c>
      <c r="AI39" s="41">
        <v>135.33049599999998</v>
      </c>
      <c r="AJ39" s="41">
        <v>910.15778199999988</v>
      </c>
      <c r="AK39" s="41">
        <v>151.29498600000002</v>
      </c>
      <c r="AL39" s="41">
        <v>48.775417999999995</v>
      </c>
      <c r="AM39" s="41">
        <v>27.381988</v>
      </c>
      <c r="AN39" s="42">
        <f t="shared" si="17"/>
        <v>1272.94067</v>
      </c>
      <c r="AO39" s="43">
        <f t="shared" si="26"/>
        <v>0.12711808449501255</v>
      </c>
      <c r="AQ39" s="40">
        <v>44.83</v>
      </c>
      <c r="AR39" s="44">
        <f t="shared" si="18"/>
        <v>38.292477789736019</v>
      </c>
      <c r="AS39" s="44">
        <f t="shared" si="18"/>
        <v>6.5411021457478418</v>
      </c>
      <c r="AT39" s="40">
        <v>2.3650000000000003E-3</v>
      </c>
      <c r="AU39" s="40">
        <v>8.4930390000000049</v>
      </c>
      <c r="AV39" s="40">
        <v>0</v>
      </c>
      <c r="AW39" s="40">
        <f t="shared" si="27"/>
        <v>45.109928769662055</v>
      </c>
      <c r="AX39" s="7"/>
      <c r="AY39" s="44">
        <v>29.631590692961826</v>
      </c>
      <c r="AZ39" s="44">
        <v>6.5411021457478418</v>
      </c>
      <c r="BA39" s="44">
        <v>8.6608870967741929</v>
      </c>
      <c r="BB39" s="44">
        <v>0</v>
      </c>
      <c r="BC39" s="7"/>
      <c r="BD39" s="38">
        <f t="shared" si="28"/>
        <v>1804.3672079917283</v>
      </c>
      <c r="BE39" s="38">
        <f t="shared" si="29"/>
        <v>1093.0183566910084</v>
      </c>
      <c r="BF39" s="7"/>
      <c r="BG39" s="40">
        <v>2.4739711185032061</v>
      </c>
      <c r="BH39" s="44">
        <v>2.1098766686147936</v>
      </c>
      <c r="BI39" s="44">
        <v>4.6054282223769745</v>
      </c>
      <c r="BJ39" s="38">
        <v>344.33082072114922</v>
      </c>
      <c r="BK39" s="38">
        <v>373.88516475377855</v>
      </c>
      <c r="BL39" s="38">
        <v>134.68491300548183</v>
      </c>
      <c r="BM39" s="40">
        <f t="shared" si="30"/>
        <v>2.5199446577682849</v>
      </c>
      <c r="BN39" s="7"/>
      <c r="BO39" s="39">
        <f t="shared" si="31"/>
        <v>127.3389586117578</v>
      </c>
      <c r="BP39" s="39">
        <f t="shared" si="22"/>
        <v>3.1762356281662742</v>
      </c>
      <c r="BQ39" s="40">
        <f t="shared" si="23"/>
        <v>130.51519423992409</v>
      </c>
      <c r="BS39" s="41">
        <v>348.678089</v>
      </c>
      <c r="BT39" s="41">
        <v>5.5772579999999996</v>
      </c>
      <c r="BU39" s="41">
        <v>0</v>
      </c>
      <c r="BV39" s="41">
        <v>0</v>
      </c>
      <c r="BW39" s="41">
        <v>3.2090000000000001</v>
      </c>
      <c r="BX39" s="41">
        <v>0</v>
      </c>
      <c r="BY39" s="42">
        <f t="shared" si="9"/>
        <v>357.46434699999998</v>
      </c>
      <c r="BZ39" s="41">
        <v>0</v>
      </c>
      <c r="CA39" s="41">
        <v>2.9808000000000001E-2</v>
      </c>
      <c r="CB39" s="41">
        <v>0</v>
      </c>
      <c r="CC39" s="41">
        <v>11.894504</v>
      </c>
      <c r="CD39" s="41">
        <v>40.119</v>
      </c>
      <c r="CE39" s="41"/>
      <c r="CF39" s="42">
        <f t="shared" si="19"/>
        <v>52.043312</v>
      </c>
      <c r="CG39" s="7"/>
      <c r="CH39" s="41">
        <v>74</v>
      </c>
      <c r="CI39" s="41">
        <v>0</v>
      </c>
      <c r="CJ39" s="41">
        <v>0</v>
      </c>
      <c r="CK39" s="41">
        <v>50</v>
      </c>
      <c r="CL39" s="41">
        <v>0</v>
      </c>
      <c r="CM39" s="42">
        <f t="shared" si="20"/>
        <v>72.629980594959875</v>
      </c>
      <c r="CN39" s="41">
        <v>0</v>
      </c>
      <c r="CO39" s="41">
        <v>0</v>
      </c>
      <c r="CP39" s="41">
        <v>120</v>
      </c>
      <c r="CQ39" s="41">
        <v>13.8</v>
      </c>
      <c r="CR39" s="41">
        <v>0</v>
      </c>
      <c r="CS39" s="42">
        <f t="shared" si="10"/>
        <v>38.064116288371501</v>
      </c>
      <c r="CU39" s="64">
        <v>44.783534333980242</v>
      </c>
      <c r="CV39" s="64">
        <v>6.0092200628672785</v>
      </c>
      <c r="CW39" s="64">
        <v>1.7007538694023916</v>
      </c>
      <c r="CX39" s="65">
        <v>1.4864917337500869</v>
      </c>
      <c r="CY39" s="66">
        <v>53.98</v>
      </c>
      <c r="DA39" s="42">
        <v>2254.9939919354802</v>
      </c>
      <c r="DB39" s="40">
        <v>29.486906819083</v>
      </c>
      <c r="DD39" s="42">
        <v>2258.5831583992299</v>
      </c>
      <c r="DE39" s="39">
        <f t="shared" ref="DE39:DE70" si="34">+DD39/E39</f>
        <v>28.834829281361014</v>
      </c>
      <c r="DF39" s="55">
        <f t="shared" si="32"/>
        <v>0.53417616304855531</v>
      </c>
      <c r="DH39" s="39"/>
      <c r="DI39" s="42"/>
      <c r="DK39" s="42"/>
      <c r="DL39" s="42"/>
      <c r="DN39" s="41"/>
      <c r="DO39" s="41"/>
      <c r="DQ39" s="39"/>
      <c r="DR39" s="39"/>
      <c r="DT39" s="56"/>
      <c r="DU39" s="56"/>
      <c r="DV39" s="55"/>
      <c r="DX39" s="39"/>
      <c r="DY39" s="39"/>
      <c r="DZ39" s="39"/>
      <c r="EA39" s="39"/>
      <c r="EB39" s="39"/>
      <c r="EC39" s="39"/>
      <c r="ED39" s="39"/>
      <c r="EE39" s="42"/>
      <c r="EF39" s="39"/>
      <c r="EG39" s="39"/>
      <c r="EH39" s="39"/>
      <c r="EI39" s="42"/>
      <c r="EJ39" s="39"/>
      <c r="EK39" s="39"/>
      <c r="EL39" s="39"/>
      <c r="EM39" s="39"/>
      <c r="EN39" s="42"/>
      <c r="EO39" s="39"/>
      <c r="EP39" s="71">
        <f t="shared" si="33"/>
        <v>10746.960817000001</v>
      </c>
    </row>
    <row r="40" spans="1:146" x14ac:dyDescent="0.4">
      <c r="A40" s="26">
        <f t="shared" si="13"/>
        <v>2020</v>
      </c>
      <c r="B40" s="27">
        <v>44136</v>
      </c>
      <c r="C40" s="28">
        <f t="shared" si="14"/>
        <v>30</v>
      </c>
      <c r="D40" s="29">
        <v>78.829999999999742</v>
      </c>
      <c r="E40" s="29">
        <v>81.296700000000001</v>
      </c>
      <c r="F40" s="29">
        <v>40.94</v>
      </c>
      <c r="G40" s="29">
        <v>42.69</v>
      </c>
      <c r="H40" s="7"/>
      <c r="I40" s="30">
        <v>21.924999999999997</v>
      </c>
      <c r="J40" s="29">
        <v>27.15</v>
      </c>
      <c r="K40" s="29">
        <v>18</v>
      </c>
      <c r="L40" s="30">
        <v>20.3</v>
      </c>
      <c r="M40" s="22"/>
      <c r="N40" s="31">
        <v>4330.6238769999973</v>
      </c>
      <c r="O40" s="31">
        <v>2868.2804359999986</v>
      </c>
      <c r="P40" s="32">
        <f t="shared" si="15"/>
        <v>7198.9043129999955</v>
      </c>
      <c r="Q40" s="31">
        <v>983.08866499999988</v>
      </c>
      <c r="R40" s="31">
        <v>364.17538200000018</v>
      </c>
      <c r="S40" s="31">
        <v>1541.6760789999987</v>
      </c>
      <c r="T40" s="31"/>
      <c r="U40" s="32">
        <f t="shared" si="16"/>
        <v>2888.9401259999986</v>
      </c>
      <c r="V40" s="32">
        <f t="shared" si="24"/>
        <v>10087.844438999993</v>
      </c>
      <c r="W40" s="33">
        <v>1202.8628670000001</v>
      </c>
      <c r="X40" s="32">
        <f t="shared" si="25"/>
        <v>11290.707305999993</v>
      </c>
      <c r="Z40" s="32">
        <v>22289</v>
      </c>
      <c r="AB40" s="34">
        <v>7764.9017370000001</v>
      </c>
      <c r="AC40" s="34">
        <v>678.24122</v>
      </c>
      <c r="AD40" s="34">
        <v>3247.0130729999992</v>
      </c>
      <c r="AE40" s="34">
        <v>23.705068000000001</v>
      </c>
      <c r="AF40" s="32">
        <f t="shared" si="2"/>
        <v>11713.861097999998</v>
      </c>
      <c r="AH40" s="31">
        <v>1979.5882669999999</v>
      </c>
      <c r="AI40" s="31">
        <v>128.61831900000001</v>
      </c>
      <c r="AJ40" s="31">
        <v>866.44670899999983</v>
      </c>
      <c r="AK40" s="31">
        <v>194.51998600000002</v>
      </c>
      <c r="AL40" s="31">
        <v>52.293984000000002</v>
      </c>
      <c r="AM40" s="31">
        <v>25.545808000000001</v>
      </c>
      <c r="AN40" s="32">
        <f t="shared" si="17"/>
        <v>1267.4248059999998</v>
      </c>
      <c r="AO40" s="35">
        <f t="shared" si="26"/>
        <v>0.12563881349122386</v>
      </c>
      <c r="AQ40" s="30">
        <v>49.66</v>
      </c>
      <c r="AR40" s="36">
        <f t="shared" si="18"/>
        <v>39.311747732884747</v>
      </c>
      <c r="AS40" s="36">
        <f t="shared" si="18"/>
        <v>10.344066767115258</v>
      </c>
      <c r="AT40" s="30">
        <v>125.714915</v>
      </c>
      <c r="AU40" s="30">
        <v>47.777546999999984</v>
      </c>
      <c r="AV40" s="30">
        <v>53.824026000000003</v>
      </c>
      <c r="AW40" s="30">
        <f t="shared" si="27"/>
        <v>57.328997066111107</v>
      </c>
      <c r="AX40" s="7"/>
      <c r="AY40" s="36">
        <v>29.643556066218082</v>
      </c>
      <c r="AZ40" s="36">
        <v>10.344066767115258</v>
      </c>
      <c r="BA40" s="36">
        <v>9.668191666666667</v>
      </c>
      <c r="BB40" s="36">
        <v>0</v>
      </c>
      <c r="BC40" s="7"/>
      <c r="BD40" s="32">
        <f t="shared" si="28"/>
        <v>1860.5396114441517</v>
      </c>
      <c r="BE40" s="32">
        <f t="shared" si="29"/>
        <v>1233.3172759856814</v>
      </c>
      <c r="BF40" s="7"/>
      <c r="BG40" s="30">
        <v>2.582193301034589</v>
      </c>
      <c r="BH40" s="36">
        <v>2.1071231237047723</v>
      </c>
      <c r="BI40" s="36">
        <v>4.3876571855078401</v>
      </c>
      <c r="BJ40" s="28">
        <v>342.13656815705104</v>
      </c>
      <c r="BK40" s="28">
        <v>373.8851647537785</v>
      </c>
      <c r="BL40" s="28">
        <v>134.68491300548183</v>
      </c>
      <c r="BM40" s="30">
        <f t="shared" si="30"/>
        <v>3.3062424238569053</v>
      </c>
      <c r="BN40" s="7"/>
      <c r="BO40" s="29">
        <f t="shared" si="31"/>
        <v>142.47968814375298</v>
      </c>
      <c r="BP40" s="29">
        <f t="shared" si="22"/>
        <v>68.124269875296562</v>
      </c>
      <c r="BQ40" s="30">
        <f t="shared" si="23"/>
        <v>210.60395801904954</v>
      </c>
      <c r="BS40" s="31">
        <v>1173.4138549999998</v>
      </c>
      <c r="BT40" s="31">
        <v>0</v>
      </c>
      <c r="BU40" s="31">
        <v>1.2E-5</v>
      </c>
      <c r="BV40" s="31">
        <v>0</v>
      </c>
      <c r="BW40" s="31">
        <v>29.449000000000002</v>
      </c>
      <c r="BX40" s="31">
        <v>0</v>
      </c>
      <c r="BY40" s="32">
        <f t="shared" si="9"/>
        <v>1202.8628669999998</v>
      </c>
      <c r="BZ40" s="31">
        <v>0</v>
      </c>
      <c r="CA40" s="31">
        <v>0</v>
      </c>
      <c r="CB40" s="31">
        <v>0</v>
      </c>
      <c r="CC40" s="31">
        <v>11.270068</v>
      </c>
      <c r="CD40" s="31">
        <v>12.435</v>
      </c>
      <c r="CE40" s="31"/>
      <c r="CF40" s="32">
        <f t="shared" si="19"/>
        <v>23.705068000000001</v>
      </c>
      <c r="CG40" s="7"/>
      <c r="CH40" s="31">
        <v>133</v>
      </c>
      <c r="CI40" s="31">
        <v>0</v>
      </c>
      <c r="CJ40" s="31">
        <v>0</v>
      </c>
      <c r="CK40" s="31">
        <v>71</v>
      </c>
      <c r="CL40" s="31">
        <v>0</v>
      </c>
      <c r="CM40" s="32">
        <f t="shared" si="20"/>
        <v>131.48208831938277</v>
      </c>
      <c r="CN40" s="31">
        <v>0</v>
      </c>
      <c r="CO40" s="31">
        <v>0</v>
      </c>
      <c r="CP40" s="31">
        <v>120</v>
      </c>
      <c r="CQ40" s="31">
        <v>12</v>
      </c>
      <c r="CR40" s="31">
        <v>0</v>
      </c>
      <c r="CS40" s="32">
        <f t="shared" si="10"/>
        <v>63.346292024979633</v>
      </c>
      <c r="CU40" s="61">
        <v>44.183784809496025</v>
      </c>
      <c r="CV40" s="61">
        <v>5.8030924667704582</v>
      </c>
      <c r="CW40" s="61">
        <v>1.5996789652825743</v>
      </c>
      <c r="CX40" s="62">
        <v>1.4234437584509316</v>
      </c>
      <c r="CY40" s="63">
        <v>53.009999999999984</v>
      </c>
      <c r="DA40" s="32">
        <v>3077.7755833333299</v>
      </c>
      <c r="DB40" s="30">
        <v>38.939410588864298</v>
      </c>
      <c r="DD40" s="50">
        <v>2279.6755139762599</v>
      </c>
      <c r="DE40" s="29">
        <f t="shared" si="34"/>
        <v>28.041427437722071</v>
      </c>
      <c r="DF40" s="51">
        <f t="shared" si="32"/>
        <v>0.52898372831016938</v>
      </c>
      <c r="DH40" s="33"/>
      <c r="DI40" s="32"/>
      <c r="DK40" s="50"/>
      <c r="DL40" s="50"/>
      <c r="DN40" s="31"/>
      <c r="DO40" s="31"/>
      <c r="DQ40" s="29"/>
      <c r="DR40" s="29"/>
      <c r="DT40" s="54"/>
      <c r="DU40" s="54"/>
      <c r="DV40" s="51"/>
      <c r="DX40" s="33"/>
      <c r="DY40" s="33"/>
      <c r="DZ40" s="33"/>
      <c r="EA40" s="33"/>
      <c r="EB40" s="33"/>
      <c r="EC40" s="33"/>
      <c r="ED40" s="33"/>
      <c r="EE40" s="32"/>
      <c r="EF40" s="33"/>
      <c r="EG40" s="33"/>
      <c r="EH40" s="33"/>
      <c r="EI40" s="32"/>
      <c r="EJ40" s="33"/>
      <c r="EK40" s="33"/>
      <c r="EL40" s="33"/>
      <c r="EM40" s="33"/>
      <c r="EN40" s="32"/>
      <c r="EO40" s="32"/>
      <c r="EP40" s="70">
        <f t="shared" si="33"/>
        <v>11713.861097999998</v>
      </c>
    </row>
    <row r="41" spans="1:146" x14ac:dyDescent="0.4">
      <c r="A41" s="22">
        <f t="shared" si="13"/>
        <v>2020</v>
      </c>
      <c r="B41" s="37">
        <v>44166</v>
      </c>
      <c r="C41" s="38">
        <f t="shared" si="14"/>
        <v>31</v>
      </c>
      <c r="D41" s="39">
        <v>81.559806451611962</v>
      </c>
      <c r="E41" s="39">
        <v>84.144999999999996</v>
      </c>
      <c r="F41" s="39">
        <v>47.02</v>
      </c>
      <c r="G41" s="39">
        <v>49.99</v>
      </c>
      <c r="H41" s="7"/>
      <c r="I41" s="40">
        <v>23.514516129032263</v>
      </c>
      <c r="J41" s="39">
        <v>29.25</v>
      </c>
      <c r="K41" s="39">
        <v>16.100000000000001</v>
      </c>
      <c r="L41" s="40">
        <v>23.1</v>
      </c>
      <c r="M41" s="22"/>
      <c r="N41" s="41">
        <v>5258.4089279999971</v>
      </c>
      <c r="O41" s="41">
        <v>3207.0215429999998</v>
      </c>
      <c r="P41" s="42">
        <f t="shared" si="15"/>
        <v>8465.430470999996</v>
      </c>
      <c r="Q41" s="41">
        <v>986.83695100000034</v>
      </c>
      <c r="R41" s="41">
        <v>363.27867400000019</v>
      </c>
      <c r="S41" s="41">
        <v>1514.6315180000015</v>
      </c>
      <c r="T41" s="41"/>
      <c r="U41" s="42">
        <f t="shared" si="16"/>
        <v>2864.7471430000023</v>
      </c>
      <c r="V41" s="42">
        <f t="shared" si="24"/>
        <v>11330.177613999998</v>
      </c>
      <c r="W41" s="39">
        <v>984.27700299999992</v>
      </c>
      <c r="X41" s="42">
        <f t="shared" si="25"/>
        <v>12314.454616999998</v>
      </c>
      <c r="Z41" s="42">
        <v>24079</v>
      </c>
      <c r="AB41" s="41">
        <v>8433.6095000000005</v>
      </c>
      <c r="AC41" s="41">
        <v>694.39478300000007</v>
      </c>
      <c r="AD41" s="41">
        <v>3619.8118039999995</v>
      </c>
      <c r="AE41" s="41">
        <v>42.079412000000005</v>
      </c>
      <c r="AF41" s="42">
        <f t="shared" si="2"/>
        <v>12789.895498999998</v>
      </c>
      <c r="AH41" s="41">
        <v>2176.4987939999996</v>
      </c>
      <c r="AI41" s="41">
        <v>121.89696900000003</v>
      </c>
      <c r="AJ41" s="41">
        <v>1024.1025470000002</v>
      </c>
      <c r="AK41" s="41">
        <v>216.39642499999994</v>
      </c>
      <c r="AL41" s="41">
        <v>55.081249000000007</v>
      </c>
      <c r="AM41" s="41">
        <v>25.835819999999998</v>
      </c>
      <c r="AN41" s="42">
        <f t="shared" si="17"/>
        <v>1443.3130100000003</v>
      </c>
      <c r="AO41" s="43">
        <f t="shared" si="26"/>
        <v>0.12738661821299146</v>
      </c>
      <c r="AQ41" s="40">
        <v>51.39</v>
      </c>
      <c r="AR41" s="44">
        <f t="shared" si="18"/>
        <v>40.625874070683437</v>
      </c>
      <c r="AS41" s="44">
        <f t="shared" si="18"/>
        <v>10.760880477703653</v>
      </c>
      <c r="AT41" s="40">
        <v>118.51032899999996</v>
      </c>
      <c r="AU41" s="40">
        <v>85.282744000000037</v>
      </c>
      <c r="AV41" s="40">
        <v>81.135388999999989</v>
      </c>
      <c r="AW41" s="40">
        <f t="shared" si="27"/>
        <v>60.342604717050691</v>
      </c>
      <c r="AX41" s="7"/>
      <c r="AY41" s="44">
        <v>30.480661812618919</v>
      </c>
      <c r="AZ41" s="44">
        <v>10.760880477703653</v>
      </c>
      <c r="BA41" s="44">
        <v>10.145212258064518</v>
      </c>
      <c r="BB41" s="44">
        <v>0</v>
      </c>
      <c r="BC41" s="7"/>
      <c r="BD41" s="38">
        <f t="shared" si="28"/>
        <v>1863.1659751758721</v>
      </c>
      <c r="BE41" s="38">
        <f t="shared" si="29"/>
        <v>1228.5647110680902</v>
      </c>
      <c r="BF41" s="7"/>
      <c r="BG41" s="40">
        <v>2.9306201189968299</v>
      </c>
      <c r="BH41" s="44">
        <v>2.5491442760740433</v>
      </c>
      <c r="BI41" s="44">
        <v>4.3708172838756774</v>
      </c>
      <c r="BJ41" s="38">
        <v>336.85889298176824</v>
      </c>
      <c r="BK41" s="38">
        <v>373.88516475377855</v>
      </c>
      <c r="BL41" s="38">
        <v>134.68491300548183</v>
      </c>
      <c r="BM41" s="40">
        <f t="shared" si="30"/>
        <v>3.6899967900009236</v>
      </c>
      <c r="BN41" s="7"/>
      <c r="BO41" s="39">
        <f t="shared" si="31"/>
        <v>172.91635575454299</v>
      </c>
      <c r="BP41" s="39">
        <f t="shared" si="22"/>
        <v>82.734923834070386</v>
      </c>
      <c r="BQ41" s="40">
        <f t="shared" si="23"/>
        <v>255.65127958861336</v>
      </c>
      <c r="BS41" s="41">
        <v>955.92400299999974</v>
      </c>
      <c r="BT41" s="41">
        <v>0</v>
      </c>
      <c r="BU41" s="41">
        <v>0</v>
      </c>
      <c r="BV41" s="41">
        <v>0</v>
      </c>
      <c r="BW41" s="41">
        <v>28.353000000000002</v>
      </c>
      <c r="BX41" s="41">
        <v>0</v>
      </c>
      <c r="BY41" s="42">
        <f t="shared" si="9"/>
        <v>984.2770029999997</v>
      </c>
      <c r="BZ41" s="41">
        <v>0</v>
      </c>
      <c r="CA41" s="41">
        <v>0</v>
      </c>
      <c r="CB41" s="41">
        <v>0</v>
      </c>
      <c r="CC41" s="41">
        <v>12.755412</v>
      </c>
      <c r="CD41" s="41">
        <v>29.324000000000002</v>
      </c>
      <c r="CE41" s="41"/>
      <c r="CF41" s="42">
        <f t="shared" si="19"/>
        <v>42.079412000000005</v>
      </c>
      <c r="CG41" s="7"/>
      <c r="CH41" s="41">
        <v>191.5</v>
      </c>
      <c r="CI41" s="41">
        <v>0</v>
      </c>
      <c r="CJ41" s="41">
        <v>0</v>
      </c>
      <c r="CK41" s="41">
        <v>93.4</v>
      </c>
      <c r="CL41" s="41">
        <v>0</v>
      </c>
      <c r="CM41" s="42">
        <f t="shared" si="20"/>
        <v>188.67413970709219</v>
      </c>
      <c r="CN41" s="41">
        <v>0</v>
      </c>
      <c r="CO41" s="41">
        <v>0</v>
      </c>
      <c r="CP41" s="41">
        <v>120</v>
      </c>
      <c r="CQ41" s="41">
        <v>22.8</v>
      </c>
      <c r="CR41" s="41">
        <v>0</v>
      </c>
      <c r="CS41" s="42">
        <f t="shared" si="10"/>
        <v>52.263958441244377</v>
      </c>
      <c r="CU41" s="64">
        <v>45.545093051679672</v>
      </c>
      <c r="CV41" s="64">
        <v>6.1520719851053531</v>
      </c>
      <c r="CW41" s="64">
        <v>1.9235192268191412</v>
      </c>
      <c r="CX41" s="65">
        <v>1.3293157363958323</v>
      </c>
      <c r="CY41" s="66">
        <v>54.949999999999996</v>
      </c>
      <c r="DA41" s="42">
        <v>4628.6852822580604</v>
      </c>
      <c r="DB41" s="40">
        <v>56.776480524326999</v>
      </c>
      <c r="DD41" s="42">
        <v>2250.4111103443802</v>
      </c>
      <c r="DE41" s="39">
        <f t="shared" si="34"/>
        <v>26.744442454624522</v>
      </c>
      <c r="DF41" s="55">
        <f t="shared" si="32"/>
        <v>0.48670504921973656</v>
      </c>
      <c r="DH41" s="39"/>
      <c r="DI41" s="42"/>
      <c r="DK41" s="42"/>
      <c r="DL41" s="42"/>
      <c r="DN41" s="41"/>
      <c r="DO41" s="41"/>
      <c r="DQ41" s="39"/>
      <c r="DR41" s="39"/>
      <c r="DT41" s="56"/>
      <c r="DU41" s="56"/>
      <c r="DV41" s="55"/>
      <c r="DX41" s="39"/>
      <c r="DY41" s="39"/>
      <c r="DZ41" s="39"/>
      <c r="EA41" s="39"/>
      <c r="EB41" s="39"/>
      <c r="EC41" s="39"/>
      <c r="ED41" s="39"/>
      <c r="EE41" s="42"/>
      <c r="EF41" s="39"/>
      <c r="EG41" s="39"/>
      <c r="EH41" s="39"/>
      <c r="EI41" s="42"/>
      <c r="EJ41" s="39"/>
      <c r="EK41" s="39"/>
      <c r="EL41" s="39"/>
      <c r="EM41" s="39"/>
      <c r="EN41" s="42"/>
      <c r="EO41" s="39"/>
      <c r="EP41" s="71">
        <f t="shared" si="33"/>
        <v>12789.895498999998</v>
      </c>
    </row>
    <row r="42" spans="1:146" x14ac:dyDescent="0.4">
      <c r="A42" s="26">
        <f t="shared" si="13"/>
        <v>2021</v>
      </c>
      <c r="B42" s="27">
        <v>44197</v>
      </c>
      <c r="C42" s="28">
        <v>31</v>
      </c>
      <c r="D42" s="29">
        <v>84.390225806451113</v>
      </c>
      <c r="E42" s="29">
        <v>87.298299999999998</v>
      </c>
      <c r="F42" s="29">
        <v>52</v>
      </c>
      <c r="G42" s="29">
        <v>54.77</v>
      </c>
      <c r="H42" s="7"/>
      <c r="I42" s="30">
        <v>25.516129032258064</v>
      </c>
      <c r="J42" s="29">
        <v>30.75</v>
      </c>
      <c r="K42" s="29">
        <v>18.899999999999999</v>
      </c>
      <c r="L42" s="30">
        <v>24.5</v>
      </c>
      <c r="M42" s="22"/>
      <c r="N42" s="31">
        <v>5661.2169509999976</v>
      </c>
      <c r="O42" s="31">
        <v>3303.8087609999998</v>
      </c>
      <c r="P42" s="32">
        <f t="shared" si="15"/>
        <v>8965.0257119999969</v>
      </c>
      <c r="Q42" s="31">
        <v>1028.1400980000001</v>
      </c>
      <c r="R42" s="31">
        <v>382.03581900000006</v>
      </c>
      <c r="S42" s="31">
        <v>1566.3793760000001</v>
      </c>
      <c r="T42" s="31"/>
      <c r="U42" s="32">
        <f t="shared" si="16"/>
        <v>2976.5552930000003</v>
      </c>
      <c r="V42" s="32">
        <f t="shared" si="24"/>
        <v>11941.581004999996</v>
      </c>
      <c r="W42" s="33">
        <v>521.08692100000007</v>
      </c>
      <c r="X42" s="32">
        <f t="shared" si="25"/>
        <v>12462.667925999996</v>
      </c>
      <c r="Z42" s="32">
        <v>26450</v>
      </c>
      <c r="AB42" s="34">
        <v>8630.6613639999941</v>
      </c>
      <c r="AC42" s="34">
        <v>677.84835600000008</v>
      </c>
      <c r="AD42" s="34">
        <v>3589.8588250000007</v>
      </c>
      <c r="AE42" s="34">
        <v>24.821860000000001</v>
      </c>
      <c r="AF42" s="32">
        <f t="shared" si="2"/>
        <v>12923.190404999996</v>
      </c>
      <c r="AH42" s="31">
        <v>2145.356135</v>
      </c>
      <c r="AI42" s="31">
        <v>117.364614</v>
      </c>
      <c r="AJ42" s="31">
        <v>1057.5467580000002</v>
      </c>
      <c r="AK42" s="31">
        <v>194.97147600000002</v>
      </c>
      <c r="AL42" s="31">
        <v>48.974930999999998</v>
      </c>
      <c r="AM42" s="31">
        <v>25.644911000000004</v>
      </c>
      <c r="AN42" s="32">
        <f t="shared" si="17"/>
        <v>1444.5026900000003</v>
      </c>
      <c r="AO42" s="35">
        <f t="shared" si="26"/>
        <v>0.12096410763325059</v>
      </c>
      <c r="AQ42" s="30">
        <v>53.787909645161292</v>
      </c>
      <c r="AR42" s="36">
        <f t="shared" si="18"/>
        <v>41.452397054742207</v>
      </c>
      <c r="AS42" s="36">
        <f t="shared" si="18"/>
        <v>12.366122946435844</v>
      </c>
      <c r="AT42" s="30">
        <v>90.441454000000007</v>
      </c>
      <c r="AU42" s="30">
        <v>79.28581400000003</v>
      </c>
      <c r="AV42" s="30">
        <v>66.963523999999992</v>
      </c>
      <c r="AW42" s="30">
        <f t="shared" si="27"/>
        <v>61.192677551920127</v>
      </c>
      <c r="AX42" s="7"/>
      <c r="AY42" s="36">
        <v>40.634938022484143</v>
      </c>
      <c r="AZ42" s="36">
        <v>12.366122946435844</v>
      </c>
      <c r="BA42" s="36">
        <v>0.8174590322580646</v>
      </c>
      <c r="BB42" s="36">
        <v>0</v>
      </c>
      <c r="BC42" s="7"/>
      <c r="BD42" s="32">
        <f t="shared" si="28"/>
        <v>1846.2748754094221</v>
      </c>
      <c r="BE42" s="32">
        <f t="shared" si="29"/>
        <v>1233.0216250899543</v>
      </c>
      <c r="BF42" s="7"/>
      <c r="BG42" s="30">
        <v>3.4841830368386351</v>
      </c>
      <c r="BH42" s="36">
        <v>3.0748544417452099</v>
      </c>
      <c r="BI42" s="36">
        <v>4.8476661139130837</v>
      </c>
      <c r="BJ42" s="28">
        <v>403.46701883725922</v>
      </c>
      <c r="BK42" s="28">
        <v>427.71011824392883</v>
      </c>
      <c r="BL42" s="28">
        <v>134.68491300548189</v>
      </c>
      <c r="BM42" s="30">
        <f t="shared" si="30"/>
        <v>4.1929785686441674</v>
      </c>
      <c r="BN42" s="7"/>
      <c r="BO42" s="29">
        <f t="shared" si="31"/>
        <v>215.17091087233649</v>
      </c>
      <c r="BP42" s="29">
        <f t="shared" si="22"/>
        <v>79.420465110173765</v>
      </c>
      <c r="BQ42" s="30">
        <f t="shared" si="23"/>
        <v>294.59137598251027</v>
      </c>
      <c r="BS42" s="31">
        <v>489.73245400000002</v>
      </c>
      <c r="BT42" s="31">
        <v>0</v>
      </c>
      <c r="BU42" s="31">
        <v>4.6700000000000002E-4</v>
      </c>
      <c r="BV42" s="31">
        <v>0</v>
      </c>
      <c r="BW42" s="31">
        <v>31.353999999999999</v>
      </c>
      <c r="BX42" s="31">
        <v>0</v>
      </c>
      <c r="BY42" s="32">
        <f t="shared" si="9"/>
        <v>521.08692100000007</v>
      </c>
      <c r="BZ42" s="31">
        <v>0</v>
      </c>
      <c r="CA42" s="31">
        <v>0</v>
      </c>
      <c r="CB42" s="31">
        <v>0</v>
      </c>
      <c r="CC42" s="31">
        <v>11.859860000000001</v>
      </c>
      <c r="CD42" s="31">
        <v>12.962</v>
      </c>
      <c r="CE42" s="31"/>
      <c r="CF42" s="32">
        <f t="shared" si="19"/>
        <v>24.821860000000001</v>
      </c>
      <c r="CG42" s="7"/>
      <c r="CH42" s="31">
        <v>172.4</v>
      </c>
      <c r="CI42" s="31">
        <v>0</v>
      </c>
      <c r="CJ42" s="31">
        <v>0</v>
      </c>
      <c r="CK42" s="31">
        <v>74.7</v>
      </c>
      <c r="CL42" s="31">
        <v>0</v>
      </c>
      <c r="CM42" s="32">
        <f t="shared" si="20"/>
        <v>166.52119900280513</v>
      </c>
      <c r="CN42" s="31">
        <v>0</v>
      </c>
      <c r="CO42" s="31">
        <v>0</v>
      </c>
      <c r="CP42" s="31">
        <v>120</v>
      </c>
      <c r="CQ42" s="31">
        <v>14.7</v>
      </c>
      <c r="CR42" s="31">
        <v>0</v>
      </c>
      <c r="CS42" s="32">
        <f t="shared" si="10"/>
        <v>65.012235183020138</v>
      </c>
      <c r="CU42" s="61">
        <v>50.691232294942282</v>
      </c>
      <c r="CV42" s="61">
        <v>5.6913879394597293</v>
      </c>
      <c r="CW42" s="61">
        <v>2.3499367795305099</v>
      </c>
      <c r="CX42" s="62">
        <v>1.2574429860674849</v>
      </c>
      <c r="CY42" s="63">
        <v>59.990000000000009</v>
      </c>
      <c r="DA42" s="32">
        <v>4682.1120295698829</v>
      </c>
      <c r="DB42" s="30">
        <v>55.285422094407224</v>
      </c>
      <c r="DD42" s="50">
        <v>2248.5694907668085</v>
      </c>
      <c r="DE42" s="29">
        <f t="shared" si="34"/>
        <v>25.757311319542403</v>
      </c>
      <c r="DF42" s="51">
        <f t="shared" si="32"/>
        <v>0.42936008200604098</v>
      </c>
      <c r="DH42" s="33"/>
      <c r="DI42" s="32"/>
      <c r="DK42" s="50"/>
      <c r="DL42" s="50"/>
      <c r="DN42" s="31"/>
      <c r="DO42" s="31"/>
      <c r="DQ42" s="29"/>
      <c r="DR42" s="29"/>
      <c r="DT42" s="54"/>
      <c r="DU42" s="54"/>
      <c r="DV42" s="51"/>
      <c r="DX42" s="33"/>
      <c r="DY42" s="33"/>
      <c r="DZ42" s="33"/>
      <c r="EA42" s="33"/>
      <c r="EB42" s="33"/>
      <c r="EC42" s="33"/>
      <c r="ED42" s="33"/>
      <c r="EE42" s="32"/>
      <c r="EF42" s="33"/>
      <c r="EG42" s="33"/>
      <c r="EH42" s="33"/>
      <c r="EI42" s="32"/>
      <c r="EJ42" s="33"/>
      <c r="EK42" s="33"/>
      <c r="EL42" s="33"/>
      <c r="EM42" s="33"/>
      <c r="EN42" s="32"/>
      <c r="EO42" s="32"/>
      <c r="EP42" s="70">
        <f t="shared" si="33"/>
        <v>12923.190404999996</v>
      </c>
    </row>
    <row r="43" spans="1:146" x14ac:dyDescent="0.4">
      <c r="A43" s="22">
        <f t="shared" si="13"/>
        <v>2021</v>
      </c>
      <c r="B43" s="37">
        <v>44228</v>
      </c>
      <c r="C43" s="38">
        <v>28</v>
      </c>
      <c r="D43" s="39">
        <v>87.53849999999882</v>
      </c>
      <c r="E43" s="39">
        <v>89.825000000000003</v>
      </c>
      <c r="F43" s="39">
        <v>59.04</v>
      </c>
      <c r="G43" s="39">
        <v>62.28</v>
      </c>
      <c r="H43" s="7"/>
      <c r="I43" s="40">
        <v>23.574999999999996</v>
      </c>
      <c r="J43" s="39">
        <v>27.1</v>
      </c>
      <c r="K43" s="39">
        <v>19.75</v>
      </c>
      <c r="L43" s="40">
        <v>23.6</v>
      </c>
      <c r="M43" s="22"/>
      <c r="N43" s="41">
        <v>4363.8363069999996</v>
      </c>
      <c r="O43" s="41">
        <v>2865.0510489999992</v>
      </c>
      <c r="P43" s="42">
        <f t="shared" si="15"/>
        <v>7228.8873559999993</v>
      </c>
      <c r="Q43" s="41">
        <v>1050.5440550000001</v>
      </c>
      <c r="R43" s="41">
        <v>388.36707100000001</v>
      </c>
      <c r="S43" s="41">
        <v>1422.5908470000006</v>
      </c>
      <c r="T43" s="41"/>
      <c r="U43" s="42">
        <f t="shared" si="16"/>
        <v>2861.5019730000004</v>
      </c>
      <c r="V43" s="42">
        <f t="shared" si="24"/>
        <v>10090.389329</v>
      </c>
      <c r="W43" s="39">
        <v>498.871801</v>
      </c>
      <c r="X43" s="42">
        <f t="shared" si="25"/>
        <v>10589.261129999999</v>
      </c>
      <c r="Z43" s="42">
        <v>22431</v>
      </c>
      <c r="AB43" s="41">
        <v>6679.9503159999977</v>
      </c>
      <c r="AC43" s="41">
        <v>528.52929200000005</v>
      </c>
      <c r="AD43" s="41">
        <v>3721.5880100000004</v>
      </c>
      <c r="AE43" s="41">
        <v>25.983737999999999</v>
      </c>
      <c r="AF43" s="42">
        <f t="shared" si="2"/>
        <v>10956.051355999998</v>
      </c>
      <c r="AH43" s="41">
        <v>2540.3477820000003</v>
      </c>
      <c r="AI43" s="41">
        <v>116.39352000000001</v>
      </c>
      <c r="AJ43" s="41">
        <v>826.07479499999999</v>
      </c>
      <c r="AK43" s="41">
        <v>170.10872799999999</v>
      </c>
      <c r="AL43" s="41">
        <v>45.432699</v>
      </c>
      <c r="AM43" s="41">
        <v>23.230485999999996</v>
      </c>
      <c r="AN43" s="42">
        <f t="shared" si="17"/>
        <v>1181.2402279999999</v>
      </c>
      <c r="AO43" s="43">
        <f t="shared" si="26"/>
        <v>0.117065872235979</v>
      </c>
      <c r="AQ43" s="40">
        <v>48.656538499999989</v>
      </c>
      <c r="AR43" s="44">
        <f t="shared" si="18"/>
        <v>39.221743113457123</v>
      </c>
      <c r="AS43" s="44">
        <f t="shared" si="18"/>
        <v>9.4633697749547032</v>
      </c>
      <c r="AT43" s="40">
        <v>21.191284</v>
      </c>
      <c r="AU43" s="40">
        <v>35.873755000000003</v>
      </c>
      <c r="AV43" s="40">
        <v>9.2242760000000015</v>
      </c>
      <c r="AW43" s="40">
        <f t="shared" si="27"/>
        <v>51.059950453656455</v>
      </c>
      <c r="AX43" s="7"/>
      <c r="AY43" s="44">
        <v>38.512667042028554</v>
      </c>
      <c r="AZ43" s="44">
        <v>9.4633697749547032</v>
      </c>
      <c r="BA43" s="44">
        <v>0.70907607142857143</v>
      </c>
      <c r="BB43" s="44">
        <v>0</v>
      </c>
      <c r="BC43" s="7"/>
      <c r="BD43" s="38">
        <f t="shared" si="28"/>
        <v>1797.812824735387</v>
      </c>
      <c r="BE43" s="38">
        <f t="shared" si="29"/>
        <v>1096.133995403663</v>
      </c>
      <c r="BF43" s="7"/>
      <c r="BG43" s="40">
        <v>3.4215091050727198</v>
      </c>
      <c r="BH43" s="44">
        <v>3.0805405692803913</v>
      </c>
      <c r="BI43" s="44">
        <v>4.8243511271217718</v>
      </c>
      <c r="BJ43" s="38">
        <v>449.22877607352257</v>
      </c>
      <c r="BK43" s="38">
        <v>431.31339665005811</v>
      </c>
      <c r="BL43" s="38">
        <v>135.69421453188269</v>
      </c>
      <c r="BM43" s="40">
        <f t="shared" si="30"/>
        <v>3.7560894567109204</v>
      </c>
      <c r="BN43" s="7"/>
      <c r="BO43" s="39">
        <f t="shared" si="31"/>
        <v>172.64467059162951</v>
      </c>
      <c r="BP43" s="39">
        <f t="shared" si="22"/>
        <v>26.244246580833725</v>
      </c>
      <c r="BQ43" s="40">
        <f t="shared" si="23"/>
        <v>198.88891717246324</v>
      </c>
      <c r="BS43" s="41">
        <v>495.1598009999999</v>
      </c>
      <c r="BT43" s="41">
        <v>0</v>
      </c>
      <c r="BU43" s="41">
        <v>0</v>
      </c>
      <c r="BV43" s="41">
        <v>0</v>
      </c>
      <c r="BW43" s="41">
        <v>3.7120000000000002</v>
      </c>
      <c r="BX43" s="41">
        <v>0</v>
      </c>
      <c r="BY43" s="42">
        <f t="shared" si="9"/>
        <v>498.87180099999989</v>
      </c>
      <c r="BZ43" s="41">
        <v>0</v>
      </c>
      <c r="CA43" s="41">
        <v>0</v>
      </c>
      <c r="CB43" s="41">
        <v>0</v>
      </c>
      <c r="CC43" s="41">
        <v>10.443738</v>
      </c>
      <c r="CD43" s="41">
        <v>15.54</v>
      </c>
      <c r="CE43" s="41"/>
      <c r="CF43" s="42">
        <f t="shared" si="19"/>
        <v>25.983737999999999</v>
      </c>
      <c r="CG43" s="7"/>
      <c r="CH43" s="41">
        <v>85.7</v>
      </c>
      <c r="CI43" s="41">
        <v>0</v>
      </c>
      <c r="CJ43" s="41">
        <v>0</v>
      </c>
      <c r="CK43" s="41">
        <v>70.3</v>
      </c>
      <c r="CL43" s="41">
        <v>0</v>
      </c>
      <c r="CM43" s="42">
        <f t="shared" si="20"/>
        <v>85.585411843512887</v>
      </c>
      <c r="CN43" s="41">
        <v>0</v>
      </c>
      <c r="CO43" s="41">
        <v>0</v>
      </c>
      <c r="CP43" s="41">
        <v>120</v>
      </c>
      <c r="CQ43" s="41">
        <v>21.9</v>
      </c>
      <c r="CR43" s="41">
        <v>0</v>
      </c>
      <c r="CS43" s="42">
        <f t="shared" si="10"/>
        <v>61.329688592149445</v>
      </c>
      <c r="CU43" s="64">
        <v>49.93942952424679</v>
      </c>
      <c r="CV43" s="64">
        <v>6.7376868924539588</v>
      </c>
      <c r="CW43" s="64">
        <v>2.1078108905374049</v>
      </c>
      <c r="CX43" s="65">
        <v>1.2550726927618419</v>
      </c>
      <c r="CY43" s="66">
        <v>60.04</v>
      </c>
      <c r="DA43" s="42">
        <v>3885.4394345238015</v>
      </c>
      <c r="DB43" s="40">
        <v>44.30063715631406</v>
      </c>
      <c r="DD43" s="42">
        <v>2294.1918505700633</v>
      </c>
      <c r="DE43" s="39">
        <f t="shared" si="34"/>
        <v>25.540683001058316</v>
      </c>
      <c r="DF43" s="55">
        <f t="shared" si="32"/>
        <v>0.42539445371516182</v>
      </c>
      <c r="DH43" s="39"/>
      <c r="DI43" s="42"/>
      <c r="DK43" s="42"/>
      <c r="DL43" s="42"/>
      <c r="DN43" s="41"/>
      <c r="DO43" s="41"/>
      <c r="DQ43" s="39"/>
      <c r="DR43" s="39"/>
      <c r="DT43" s="56"/>
      <c r="DU43" s="56"/>
      <c r="DV43" s="55"/>
      <c r="DX43" s="39"/>
      <c r="DY43" s="39"/>
      <c r="DZ43" s="39"/>
      <c r="EA43" s="39"/>
      <c r="EB43" s="39"/>
      <c r="EC43" s="39"/>
      <c r="ED43" s="39"/>
      <c r="EE43" s="42"/>
      <c r="EF43" s="39"/>
      <c r="EG43" s="39"/>
      <c r="EH43" s="39"/>
      <c r="EI43" s="42"/>
      <c r="EJ43" s="39"/>
      <c r="EK43" s="39"/>
      <c r="EL43" s="39"/>
      <c r="EM43" s="39"/>
      <c r="EN43" s="42"/>
      <c r="EO43" s="39"/>
      <c r="EP43" s="71">
        <f t="shared" si="33"/>
        <v>10956.051355999998</v>
      </c>
    </row>
    <row r="44" spans="1:146" x14ac:dyDescent="0.4">
      <c r="A44" s="26">
        <f t="shared" si="13"/>
        <v>2021</v>
      </c>
      <c r="B44" s="27">
        <v>44256</v>
      </c>
      <c r="C44" s="28">
        <v>31</v>
      </c>
      <c r="D44" s="29">
        <v>90.251096774193101</v>
      </c>
      <c r="E44" s="29">
        <v>91.984999999999999</v>
      </c>
      <c r="F44" s="29">
        <v>62.33</v>
      </c>
      <c r="G44" s="29">
        <v>65.41</v>
      </c>
      <c r="H44" s="7"/>
      <c r="I44" s="30">
        <v>22.225806451612904</v>
      </c>
      <c r="J44" s="29">
        <v>27.3</v>
      </c>
      <c r="K44" s="29">
        <v>15.8</v>
      </c>
      <c r="L44" s="30">
        <v>21.6</v>
      </c>
      <c r="M44" s="22"/>
      <c r="N44" s="31">
        <v>4718.1546520000002</v>
      </c>
      <c r="O44" s="31">
        <v>3128.3867740000005</v>
      </c>
      <c r="P44" s="32">
        <f t="shared" si="15"/>
        <v>7846.5414260000007</v>
      </c>
      <c r="Q44" s="31">
        <v>1148.7401779999998</v>
      </c>
      <c r="R44" s="31">
        <v>390.841182</v>
      </c>
      <c r="S44" s="31">
        <v>1669.0917480000007</v>
      </c>
      <c r="T44" s="31"/>
      <c r="U44" s="32">
        <f t="shared" si="16"/>
        <v>3208.6731080000004</v>
      </c>
      <c r="V44" s="32">
        <f t="shared" si="24"/>
        <v>11055.214534000001</v>
      </c>
      <c r="W44" s="33">
        <v>72.592223000000004</v>
      </c>
      <c r="X44" s="32">
        <f t="shared" si="25"/>
        <v>11127.806757</v>
      </c>
      <c r="Z44" s="32">
        <v>22447</v>
      </c>
      <c r="AB44" s="34">
        <v>7483.2739149999943</v>
      </c>
      <c r="AC44" s="34">
        <v>710.67559400000005</v>
      </c>
      <c r="AD44" s="34">
        <v>3310.0728820000004</v>
      </c>
      <c r="AE44" s="34">
        <v>27.043606</v>
      </c>
      <c r="AF44" s="32">
        <f t="shared" si="2"/>
        <v>11531.065996999994</v>
      </c>
      <c r="AH44" s="31">
        <v>1991.2183730000002</v>
      </c>
      <c r="AI44" s="31">
        <v>132.33884999999998</v>
      </c>
      <c r="AJ44" s="31">
        <v>953.20174900000018</v>
      </c>
      <c r="AK44" s="31">
        <v>161.04189300000002</v>
      </c>
      <c r="AL44" s="31">
        <v>46.308805999999997</v>
      </c>
      <c r="AM44" s="31">
        <v>25.963210999999998</v>
      </c>
      <c r="AN44" s="32">
        <f t="shared" si="17"/>
        <v>1318.8545090000002</v>
      </c>
      <c r="AO44" s="35">
        <f t="shared" si="26"/>
        <v>0.11929705253063162</v>
      </c>
      <c r="AQ44" s="30">
        <v>47.737804193548406</v>
      </c>
      <c r="AR44" s="36">
        <f t="shared" si="18"/>
        <v>35.341121285012377</v>
      </c>
      <c r="AS44" s="36">
        <f t="shared" si="18"/>
        <v>12.396682908536022</v>
      </c>
      <c r="AT44" s="30">
        <v>47.092103000000002</v>
      </c>
      <c r="AU44" s="30">
        <v>47.017140000000005</v>
      </c>
      <c r="AV44" s="30">
        <v>57.442568999999999</v>
      </c>
      <c r="AW44" s="30">
        <f t="shared" si="27"/>
        <v>52.250475250384042</v>
      </c>
      <c r="AX44" s="7"/>
      <c r="AY44" s="36">
        <v>34.655915478560765</v>
      </c>
      <c r="AZ44" s="36">
        <v>12.396682908536022</v>
      </c>
      <c r="BA44" s="36">
        <v>0.685205806451613</v>
      </c>
      <c r="BB44" s="36">
        <v>0</v>
      </c>
      <c r="BC44" s="7"/>
      <c r="BD44" s="32">
        <f t="shared" si="28"/>
        <v>1818.1913303917884</v>
      </c>
      <c r="BE44" s="32">
        <f t="shared" si="29"/>
        <v>1179.9450075769098</v>
      </c>
      <c r="BF44" s="7"/>
      <c r="BG44" s="30">
        <v>3.5704258014253902</v>
      </c>
      <c r="BH44" s="36">
        <v>3.122153275009258</v>
      </c>
      <c r="BI44" s="36">
        <v>4.8483849007827509</v>
      </c>
      <c r="BJ44" s="28">
        <v>457.49433096941078</v>
      </c>
      <c r="BK44" s="28">
        <v>456.37577582392515</v>
      </c>
      <c r="BL44" s="28">
        <v>134.09940743708324</v>
      </c>
      <c r="BM44" s="30">
        <f t="shared" si="30"/>
        <v>4.1072658472991161</v>
      </c>
      <c r="BN44" s="7"/>
      <c r="BO44" s="29">
        <f t="shared" si="31"/>
        <v>195.69529339545153</v>
      </c>
      <c r="BP44" s="29">
        <f t="shared" si="22"/>
        <v>50.704868365013454</v>
      </c>
      <c r="BQ44" s="30">
        <f t="shared" si="23"/>
        <v>246.40016176046498</v>
      </c>
      <c r="BS44" s="31">
        <v>61.753222999999998</v>
      </c>
      <c r="BT44" s="31">
        <v>0</v>
      </c>
      <c r="BU44" s="31">
        <v>0</v>
      </c>
      <c r="BV44" s="31">
        <v>0</v>
      </c>
      <c r="BW44" s="31">
        <v>10.839</v>
      </c>
      <c r="BX44" s="31">
        <v>0</v>
      </c>
      <c r="BY44" s="32">
        <f t="shared" si="9"/>
        <v>72.592223000000004</v>
      </c>
      <c r="BZ44" s="31">
        <v>0</v>
      </c>
      <c r="CA44" s="31">
        <v>0</v>
      </c>
      <c r="CB44" s="31">
        <v>0</v>
      </c>
      <c r="CC44" s="31">
        <v>12.371606</v>
      </c>
      <c r="CD44" s="31">
        <v>14.672000000000001</v>
      </c>
      <c r="CE44" s="31"/>
      <c r="CF44" s="32">
        <f t="shared" si="19"/>
        <v>27.043606</v>
      </c>
      <c r="CG44" s="7"/>
      <c r="CH44" s="31">
        <v>82.4</v>
      </c>
      <c r="CI44" s="31">
        <v>0</v>
      </c>
      <c r="CJ44" s="31">
        <v>0</v>
      </c>
      <c r="CK44" s="31">
        <v>80</v>
      </c>
      <c r="CL44" s="31">
        <v>0</v>
      </c>
      <c r="CM44" s="32">
        <f t="shared" si="20"/>
        <v>82.041647563265826</v>
      </c>
      <c r="CN44" s="31">
        <v>0</v>
      </c>
      <c r="CO44" s="31">
        <v>0</v>
      </c>
      <c r="CP44" s="31">
        <v>120</v>
      </c>
      <c r="CQ44" s="31">
        <v>19.7</v>
      </c>
      <c r="CR44" s="31">
        <v>0</v>
      </c>
      <c r="CS44" s="32">
        <f t="shared" si="10"/>
        <v>65.584120697513484</v>
      </c>
      <c r="CU44" s="61">
        <v>51.544997315281712</v>
      </c>
      <c r="CV44" s="61">
        <v>5.014716669720773</v>
      </c>
      <c r="CW44" s="61">
        <v>2.1800225154418205</v>
      </c>
      <c r="CX44" s="62">
        <v>1.2302634995556958</v>
      </c>
      <c r="CY44" s="63">
        <v>59.970000000000006</v>
      </c>
      <c r="DA44" s="32">
        <v>5868.4448790322449</v>
      </c>
      <c r="DB44" s="30">
        <v>65.181226808981052</v>
      </c>
      <c r="DD44" s="50">
        <v>2276.771183760708</v>
      </c>
      <c r="DE44" s="29">
        <f t="shared" si="34"/>
        <v>24.751548445515116</v>
      </c>
      <c r="DF44" s="51">
        <f t="shared" si="32"/>
        <v>0.41273217351200792</v>
      </c>
      <c r="DH44" s="33"/>
      <c r="DI44" s="32"/>
      <c r="DK44" s="50"/>
      <c r="DL44" s="50"/>
      <c r="DN44" s="31"/>
      <c r="DO44" s="31"/>
      <c r="DQ44" s="29"/>
      <c r="DR44" s="29"/>
      <c r="DT44" s="54"/>
      <c r="DU44" s="54"/>
      <c r="DV44" s="51"/>
      <c r="DX44" s="33"/>
      <c r="DY44" s="33"/>
      <c r="DZ44" s="33"/>
      <c r="EA44" s="33"/>
      <c r="EB44" s="33"/>
      <c r="EC44" s="33"/>
      <c r="ED44" s="33"/>
      <c r="EE44" s="32"/>
      <c r="EF44" s="33"/>
      <c r="EG44" s="33"/>
      <c r="EH44" s="33"/>
      <c r="EI44" s="32"/>
      <c r="EJ44" s="33"/>
      <c r="EK44" s="33"/>
      <c r="EL44" s="33"/>
      <c r="EM44" s="33"/>
      <c r="EN44" s="32"/>
      <c r="EO44" s="32"/>
      <c r="EP44" s="70">
        <f t="shared" si="33"/>
        <v>11531.065996999994</v>
      </c>
    </row>
    <row r="45" spans="1:146" x14ac:dyDescent="0.4">
      <c r="A45" s="22">
        <f t="shared" si="13"/>
        <v>2021</v>
      </c>
      <c r="B45" s="37">
        <v>44287</v>
      </c>
      <c r="C45" s="38">
        <v>30</v>
      </c>
      <c r="D45" s="39">
        <v>91.991700000000023</v>
      </c>
      <c r="E45" s="39">
        <v>93.555000000000007</v>
      </c>
      <c r="F45" s="39">
        <v>61.72</v>
      </c>
      <c r="G45" s="39">
        <v>64.81</v>
      </c>
      <c r="H45" s="7"/>
      <c r="I45" s="40">
        <v>20.711666666666666</v>
      </c>
      <c r="J45" s="39">
        <v>25.7</v>
      </c>
      <c r="K45" s="39">
        <v>15.85</v>
      </c>
      <c r="L45" s="40">
        <v>17.8</v>
      </c>
      <c r="M45" s="22"/>
      <c r="N45" s="41">
        <v>3891.4590039999998</v>
      </c>
      <c r="O45" s="41">
        <v>2862.2075759999998</v>
      </c>
      <c r="P45" s="42">
        <f t="shared" si="15"/>
        <v>6753.6665799999992</v>
      </c>
      <c r="Q45" s="41">
        <v>1082.7301029999999</v>
      </c>
      <c r="R45" s="41">
        <v>380.22917200000006</v>
      </c>
      <c r="S45" s="41">
        <v>1601.1120519999997</v>
      </c>
      <c r="T45" s="41"/>
      <c r="U45" s="42">
        <f t="shared" si="16"/>
        <v>3064.0713269999997</v>
      </c>
      <c r="V45" s="42">
        <f t="shared" si="24"/>
        <v>9817.7379069999988</v>
      </c>
      <c r="W45" s="39">
        <v>12.200710000000001</v>
      </c>
      <c r="X45" s="42">
        <f t="shared" si="25"/>
        <v>9829.938616999998</v>
      </c>
      <c r="Z45" s="42">
        <v>19676</v>
      </c>
      <c r="AB45" s="41">
        <v>6828.7909090000012</v>
      </c>
      <c r="AC45" s="41">
        <v>531.19520799999998</v>
      </c>
      <c r="AD45" s="41">
        <v>2780.9927470000007</v>
      </c>
      <c r="AE45" s="41">
        <v>36.111966000000002</v>
      </c>
      <c r="AF45" s="42">
        <f t="shared" si="2"/>
        <v>10177.090830000003</v>
      </c>
      <c r="AH45" s="41">
        <v>1490.4505879999999</v>
      </c>
      <c r="AI45" s="41">
        <v>111.74122999999999</v>
      </c>
      <c r="AJ45" s="41">
        <v>960.12511300000006</v>
      </c>
      <c r="AK45" s="41">
        <v>145.59284900000003</v>
      </c>
      <c r="AL45" s="41">
        <v>46.009543000000001</v>
      </c>
      <c r="AM45" s="41">
        <v>27.073424000000003</v>
      </c>
      <c r="AN45" s="42">
        <f t="shared" si="17"/>
        <v>1290.5421590000001</v>
      </c>
      <c r="AO45" s="43">
        <f t="shared" si="26"/>
        <v>0.1314500520613664</v>
      </c>
      <c r="AQ45" s="40">
        <v>40.732531566666687</v>
      </c>
      <c r="AR45" s="44">
        <f t="shared" si="18"/>
        <v>29.43704517743236</v>
      </c>
      <c r="AS45" s="44">
        <f t="shared" si="18"/>
        <v>11.285584192835623</v>
      </c>
      <c r="AT45" s="40">
        <v>53.799879000000011</v>
      </c>
      <c r="AU45" s="40">
        <v>162.92191099999999</v>
      </c>
      <c r="AV45" s="40">
        <v>82.718353000000008</v>
      </c>
      <c r="AW45" s="40">
        <f t="shared" si="27"/>
        <v>50.144388379285736</v>
      </c>
      <c r="AX45" s="7"/>
      <c r="AY45" s="44">
        <v>28.688254177432359</v>
      </c>
      <c r="AZ45" s="44">
        <v>11.285584192835623</v>
      </c>
      <c r="BA45" s="44">
        <v>0.74879099999999998</v>
      </c>
      <c r="BB45" s="44">
        <v>0</v>
      </c>
      <c r="BC45" s="7"/>
      <c r="BD45" s="38">
        <f t="shared" si="28"/>
        <v>1850.4572829907397</v>
      </c>
      <c r="BE45" s="38">
        <f t="shared" si="29"/>
        <v>1241.6501024369852</v>
      </c>
      <c r="BF45" s="7"/>
      <c r="BG45" s="40">
        <v>3.7661540639666682</v>
      </c>
      <c r="BH45" s="44">
        <v>2.998426258385511</v>
      </c>
      <c r="BI45" s="44">
        <v>5.7719812242871065</v>
      </c>
      <c r="BJ45" s="38">
        <v>465.77882973786274</v>
      </c>
      <c r="BK45" s="38">
        <v>460.8291030946869</v>
      </c>
      <c r="BL45" s="38">
        <v>139.80585047384221</v>
      </c>
      <c r="BM45" s="40">
        <f t="shared" si="30"/>
        <v>5.0641210062769701</v>
      </c>
      <c r="BN45" s="7"/>
      <c r="BO45" s="39">
        <f t="shared" si="31"/>
        <v>170.44998810605816</v>
      </c>
      <c r="BP45" s="39">
        <f t="shared" si="22"/>
        <v>111.70251249222152</v>
      </c>
      <c r="BQ45" s="40">
        <f t="shared" si="23"/>
        <v>282.15250059827969</v>
      </c>
      <c r="BS45" s="41">
        <v>7.1657100000000007</v>
      </c>
      <c r="BT45" s="41">
        <v>0</v>
      </c>
      <c r="BU45" s="41">
        <v>0</v>
      </c>
      <c r="BV45" s="41">
        <v>0</v>
      </c>
      <c r="BW45" s="41">
        <v>5.0350000000000001</v>
      </c>
      <c r="BX45" s="41">
        <v>0</v>
      </c>
      <c r="BY45" s="42">
        <f t="shared" si="9"/>
        <v>12.200710000000001</v>
      </c>
      <c r="BZ45" s="41">
        <v>0</v>
      </c>
      <c r="CA45" s="41">
        <v>0</v>
      </c>
      <c r="CB45" s="41">
        <v>0</v>
      </c>
      <c r="CC45" s="41">
        <v>10.146966000000001</v>
      </c>
      <c r="CD45" s="41">
        <v>25.965</v>
      </c>
      <c r="CE45" s="41"/>
      <c r="CF45" s="42">
        <f t="shared" si="19"/>
        <v>36.111966000000002</v>
      </c>
      <c r="CG45" s="7"/>
      <c r="CH45" s="41">
        <v>88.4</v>
      </c>
      <c r="CI45" s="41">
        <v>0</v>
      </c>
      <c r="CJ45" s="41">
        <v>0</v>
      </c>
      <c r="CK45" s="41">
        <v>72.900000000000006</v>
      </c>
      <c r="CL45" s="41">
        <v>0</v>
      </c>
      <c r="CM45" s="42">
        <f t="shared" si="20"/>
        <v>82.00344602896061</v>
      </c>
      <c r="CN45" s="41">
        <v>0</v>
      </c>
      <c r="CO45" s="41">
        <v>0</v>
      </c>
      <c r="CP45" s="41">
        <v>120</v>
      </c>
      <c r="CQ45" s="41">
        <v>20</v>
      </c>
      <c r="CR45" s="41">
        <v>0</v>
      </c>
      <c r="CS45" s="42">
        <f t="shared" si="10"/>
        <v>48.098625259006944</v>
      </c>
      <c r="CU45" s="64">
        <v>60.127839241586216</v>
      </c>
      <c r="CV45" s="64">
        <v>5.525565243264384</v>
      </c>
      <c r="CW45" s="64">
        <v>3.0650198394812809</v>
      </c>
      <c r="CX45" s="65">
        <v>1.2615756756681309</v>
      </c>
      <c r="CY45" s="66">
        <v>69.98</v>
      </c>
      <c r="DA45" s="42">
        <v>8590.2101805555449</v>
      </c>
      <c r="DB45" s="40">
        <v>93.342956792874404</v>
      </c>
      <c r="DD45" s="42">
        <v>2633.3312865524813</v>
      </c>
      <c r="DE45" s="39">
        <f t="shared" si="34"/>
        <v>28.147413677007975</v>
      </c>
      <c r="DF45" s="55">
        <f t="shared" si="32"/>
        <v>0.40222082990865926</v>
      </c>
      <c r="DH45" s="39"/>
      <c r="DI45" s="42"/>
      <c r="DK45" s="42"/>
      <c r="DL45" s="42"/>
      <c r="DN45" s="41"/>
      <c r="DO45" s="41"/>
      <c r="DQ45" s="39"/>
      <c r="DR45" s="39"/>
      <c r="DT45" s="56"/>
      <c r="DU45" s="56"/>
      <c r="DV45" s="55"/>
      <c r="DX45" s="39"/>
      <c r="DY45" s="39"/>
      <c r="DZ45" s="39"/>
      <c r="EA45" s="39"/>
      <c r="EB45" s="39"/>
      <c r="EC45" s="39"/>
      <c r="ED45" s="39"/>
      <c r="EE45" s="42"/>
      <c r="EF45" s="39"/>
      <c r="EG45" s="39"/>
      <c r="EH45" s="39"/>
      <c r="EI45" s="42"/>
      <c r="EJ45" s="39"/>
      <c r="EK45" s="39"/>
      <c r="EL45" s="39"/>
      <c r="EM45" s="39"/>
      <c r="EN45" s="42"/>
      <c r="EO45" s="39"/>
      <c r="EP45" s="71">
        <f t="shared" si="33"/>
        <v>10177.090830000003</v>
      </c>
    </row>
    <row r="46" spans="1:146" x14ac:dyDescent="0.4">
      <c r="A46" s="26">
        <f t="shared" si="13"/>
        <v>2021</v>
      </c>
      <c r="B46" s="27">
        <v>44317</v>
      </c>
      <c r="C46" s="28">
        <v>31</v>
      </c>
      <c r="D46" s="29">
        <v>93.540612903225906</v>
      </c>
      <c r="E46" s="29">
        <v>94.685000000000002</v>
      </c>
      <c r="F46" s="29">
        <v>65.17</v>
      </c>
      <c r="G46" s="29">
        <v>68.53</v>
      </c>
      <c r="H46" s="7"/>
      <c r="I46" s="30">
        <v>14.277419354838715</v>
      </c>
      <c r="J46" s="29">
        <v>20.85</v>
      </c>
      <c r="K46" s="29">
        <v>10.4</v>
      </c>
      <c r="L46" s="30">
        <v>14.600000000000001</v>
      </c>
      <c r="M46" s="22"/>
      <c r="N46" s="31">
        <v>5010.9240649999983</v>
      </c>
      <c r="O46" s="31">
        <v>2938.0034990000004</v>
      </c>
      <c r="P46" s="32">
        <f t="shared" si="15"/>
        <v>7948.9275639999987</v>
      </c>
      <c r="Q46" s="31">
        <v>1088.0553020000002</v>
      </c>
      <c r="R46" s="31">
        <v>351.39386400000001</v>
      </c>
      <c r="S46" s="31">
        <v>1597.7373590000011</v>
      </c>
      <c r="T46" s="31"/>
      <c r="U46" s="32">
        <f t="shared" si="16"/>
        <v>3037.1865250000014</v>
      </c>
      <c r="V46" s="32">
        <f t="shared" si="24"/>
        <v>10986.114089000001</v>
      </c>
      <c r="W46" s="33">
        <v>0</v>
      </c>
      <c r="X46" s="32">
        <f t="shared" si="25"/>
        <v>10986.114089000001</v>
      </c>
      <c r="Z46" s="32">
        <v>20557</v>
      </c>
      <c r="AB46" s="34">
        <v>7159.5608350000066</v>
      </c>
      <c r="AC46" s="34">
        <v>715.91349700000001</v>
      </c>
      <c r="AD46" s="34">
        <v>3358.9652859999997</v>
      </c>
      <c r="AE46" s="34">
        <v>141.598862</v>
      </c>
      <c r="AF46" s="32">
        <f t="shared" si="2"/>
        <v>11376.038480000008</v>
      </c>
      <c r="AH46" s="31">
        <v>2046.8286049999999</v>
      </c>
      <c r="AI46" s="31">
        <v>80.569695999999993</v>
      </c>
      <c r="AJ46" s="31">
        <v>1025.3520170000002</v>
      </c>
      <c r="AK46" s="31">
        <v>123.03493399999999</v>
      </c>
      <c r="AL46" s="31">
        <v>55.392737000000004</v>
      </c>
      <c r="AM46" s="31">
        <v>27.787296999999999</v>
      </c>
      <c r="AN46" s="32">
        <f t="shared" si="17"/>
        <v>1312.1366810000002</v>
      </c>
      <c r="AO46" s="35">
        <f t="shared" si="26"/>
        <v>0.11943592341843558</v>
      </c>
      <c r="AQ46" s="30">
        <v>35.488551483870943</v>
      </c>
      <c r="AR46" s="36">
        <f t="shared" si="18"/>
        <v>30.892656298333627</v>
      </c>
      <c r="AS46" s="36">
        <f t="shared" si="18"/>
        <v>4.595895185537298</v>
      </c>
      <c r="AT46" s="30">
        <v>125.03686500000002</v>
      </c>
      <c r="AU46" s="30">
        <v>277.51158199999998</v>
      </c>
      <c r="AV46" s="30">
        <v>95.372349999999997</v>
      </c>
      <c r="AW46" s="30">
        <f t="shared" si="27"/>
        <v>51.315822376958501</v>
      </c>
      <c r="AX46" s="7"/>
      <c r="AY46" s="36">
        <v>30.117628233817499</v>
      </c>
      <c r="AZ46" s="36">
        <v>4.595895185537298</v>
      </c>
      <c r="BA46" s="36">
        <v>0.77502806451612916</v>
      </c>
      <c r="BB46" s="36">
        <v>0</v>
      </c>
      <c r="BC46" s="7"/>
      <c r="BD46" s="32">
        <f t="shared" si="28"/>
        <v>1866.4050009374607</v>
      </c>
      <c r="BE46" s="32">
        <f t="shared" si="29"/>
        <v>1174.6303575231916</v>
      </c>
      <c r="BF46" s="7"/>
      <c r="BG46" s="30">
        <v>5.1064940666840952</v>
      </c>
      <c r="BH46" s="36">
        <v>4.7337207837364828</v>
      </c>
      <c r="BI46" s="36">
        <v>7.6121989277395423</v>
      </c>
      <c r="BJ46" s="28">
        <v>478.51543332325326</v>
      </c>
      <c r="BK46" s="28">
        <v>489.95133623952768</v>
      </c>
      <c r="BL46" s="28">
        <v>134.70755511416903</v>
      </c>
      <c r="BM46" s="30">
        <f t="shared" si="30"/>
        <v>7.0728000236517827</v>
      </c>
      <c r="BN46" s="7"/>
      <c r="BO46" s="29">
        <f t="shared" si="31"/>
        <v>208.06979278576298</v>
      </c>
      <c r="BP46" s="29">
        <f t="shared" si="22"/>
        <v>208.6466161536942</v>
      </c>
      <c r="BQ46" s="30">
        <f t="shared" si="23"/>
        <v>416.71640893945721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2">
        <f t="shared" si="9"/>
        <v>0</v>
      </c>
      <c r="BZ46" s="31">
        <v>0</v>
      </c>
      <c r="CA46" s="31">
        <v>39.187509000000006</v>
      </c>
      <c r="CB46" s="31">
        <v>0</v>
      </c>
      <c r="CC46" s="31">
        <v>12.618474000000001</v>
      </c>
      <c r="CD46" s="31">
        <v>89.792878999999999</v>
      </c>
      <c r="CE46" s="31"/>
      <c r="CF46" s="32">
        <f t="shared" si="19"/>
        <v>141.598862</v>
      </c>
      <c r="CG46" s="7"/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2">
        <f t="shared" si="20"/>
        <v>0</v>
      </c>
      <c r="CN46" s="31">
        <v>0</v>
      </c>
      <c r="CO46" s="31">
        <v>0</v>
      </c>
      <c r="CP46" s="31">
        <v>120</v>
      </c>
      <c r="CQ46" s="31">
        <v>108.7</v>
      </c>
      <c r="CR46" s="31">
        <v>0</v>
      </c>
      <c r="CS46" s="32">
        <f t="shared" si="10"/>
        <v>79.624247455463305</v>
      </c>
      <c r="CU46" s="61">
        <v>65.877185805306468</v>
      </c>
      <c r="CV46" s="61">
        <v>4.6079799247697171</v>
      </c>
      <c r="CW46" s="61">
        <v>2.8598864819065288</v>
      </c>
      <c r="CX46" s="62">
        <v>1.1849477880172985</v>
      </c>
      <c r="CY46" s="63">
        <v>74.530000000000015</v>
      </c>
      <c r="DA46" s="32">
        <v>10166.029637096737</v>
      </c>
      <c r="DB46" s="30">
        <v>108.65516772654026</v>
      </c>
      <c r="DD46" s="50">
        <v>2543.0504965273003</v>
      </c>
      <c r="DE46" s="29">
        <f t="shared" si="34"/>
        <v>26.858008095551568</v>
      </c>
      <c r="DF46" s="51">
        <f t="shared" si="32"/>
        <v>0.36036506233129695</v>
      </c>
      <c r="DH46" s="33"/>
      <c r="DI46" s="32"/>
      <c r="DK46" s="50"/>
      <c r="DL46" s="50"/>
      <c r="DN46" s="31"/>
      <c r="DO46" s="31"/>
      <c r="DQ46" s="29"/>
      <c r="DR46" s="29"/>
      <c r="DT46" s="54"/>
      <c r="DU46" s="54"/>
      <c r="DV46" s="51"/>
      <c r="DX46" s="33"/>
      <c r="DY46" s="33"/>
      <c r="DZ46" s="33"/>
      <c r="EA46" s="33"/>
      <c r="EB46" s="33"/>
      <c r="EC46" s="33"/>
      <c r="ED46" s="33"/>
      <c r="EE46" s="32"/>
      <c r="EF46" s="33"/>
      <c r="EG46" s="33"/>
      <c r="EH46" s="33"/>
      <c r="EI46" s="32"/>
      <c r="EJ46" s="33"/>
      <c r="EK46" s="33"/>
      <c r="EL46" s="33"/>
      <c r="EM46" s="33"/>
      <c r="EN46" s="32"/>
      <c r="EO46" s="32"/>
      <c r="EP46" s="70">
        <f t="shared" si="33"/>
        <v>11376.038480000008</v>
      </c>
    </row>
    <row r="47" spans="1:146" x14ac:dyDescent="0.4">
      <c r="A47" s="22">
        <f t="shared" si="13"/>
        <v>2021</v>
      </c>
      <c r="B47" s="37">
        <v>44348</v>
      </c>
      <c r="C47" s="38">
        <v>30</v>
      </c>
      <c r="D47" s="39">
        <v>94.814866666666504</v>
      </c>
      <c r="E47" s="39">
        <v>95.726699999999994</v>
      </c>
      <c r="F47" s="39">
        <v>71.38</v>
      </c>
      <c r="G47" s="39">
        <v>73.16</v>
      </c>
      <c r="H47" s="7"/>
      <c r="I47" s="40">
        <v>11.913333333333336</v>
      </c>
      <c r="J47" s="39">
        <v>18</v>
      </c>
      <c r="K47" s="39">
        <v>6.75</v>
      </c>
      <c r="L47" s="40">
        <v>11.600000000000001</v>
      </c>
      <c r="M47" s="22"/>
      <c r="N47" s="41">
        <v>6070.2700740000009</v>
      </c>
      <c r="O47" s="41">
        <v>2986.217181</v>
      </c>
      <c r="P47" s="42">
        <f t="shared" si="15"/>
        <v>9056.487255</v>
      </c>
      <c r="Q47" s="41">
        <v>1057.9245019999998</v>
      </c>
      <c r="R47" s="41">
        <v>353.7688</v>
      </c>
      <c r="S47" s="41">
        <v>1585.6236979999999</v>
      </c>
      <c r="T47" s="41"/>
      <c r="U47" s="42">
        <f t="shared" si="16"/>
        <v>2997.317</v>
      </c>
      <c r="V47" s="42">
        <f t="shared" si="24"/>
        <v>12053.804254999999</v>
      </c>
      <c r="W47" s="39">
        <v>87.03201399999999</v>
      </c>
      <c r="X47" s="42">
        <f t="shared" si="25"/>
        <v>12140.836268999999</v>
      </c>
      <c r="Z47" s="42">
        <v>25913</v>
      </c>
      <c r="AB47" s="41">
        <v>8266.950128000004</v>
      </c>
      <c r="AC47" s="41">
        <v>1063.883435</v>
      </c>
      <c r="AD47" s="41">
        <v>3165.9993809999996</v>
      </c>
      <c r="AE47" s="41">
        <v>32.576799999999999</v>
      </c>
      <c r="AF47" s="42">
        <f t="shared" si="2"/>
        <v>12529.409744000004</v>
      </c>
      <c r="AH47" s="41">
        <v>1776.8715509999997</v>
      </c>
      <c r="AI47" s="41">
        <v>58.648135000000003</v>
      </c>
      <c r="AJ47" s="41">
        <v>1116.6882839999998</v>
      </c>
      <c r="AK47" s="41">
        <v>105.77049300000002</v>
      </c>
      <c r="AL47" s="41">
        <v>75.69502</v>
      </c>
      <c r="AM47" s="41">
        <v>32.325898000000002</v>
      </c>
      <c r="AN47" s="42">
        <f t="shared" si="17"/>
        <v>1389.1278299999999</v>
      </c>
      <c r="AO47" s="43">
        <f t="shared" si="26"/>
        <v>0.1152439346626838</v>
      </c>
      <c r="AQ47" s="40">
        <v>40.164872866666641</v>
      </c>
      <c r="AR47" s="44">
        <f t="shared" si="18"/>
        <v>22.897359812221755</v>
      </c>
      <c r="AS47" s="44">
        <f t="shared" si="18"/>
        <v>17.267513054444887</v>
      </c>
      <c r="AT47" s="40">
        <v>90.941822999999985</v>
      </c>
      <c r="AU47" s="40">
        <v>453.50370700000002</v>
      </c>
      <c r="AV47" s="40">
        <v>85.310065999999992</v>
      </c>
      <c r="AW47" s="40">
        <f t="shared" si="27"/>
        <v>60.970293612142825</v>
      </c>
      <c r="AX47" s="7"/>
      <c r="AY47" s="44">
        <v>22.010710145555088</v>
      </c>
      <c r="AZ47" s="44">
        <v>17.267513054444887</v>
      </c>
      <c r="BA47" s="44">
        <v>0.88664966666666667</v>
      </c>
      <c r="BB47" s="44">
        <v>0</v>
      </c>
      <c r="BC47" s="7"/>
      <c r="BD47" s="38">
        <f t="shared" si="28"/>
        <v>1858.5468343664825</v>
      </c>
      <c r="BE47" s="38">
        <f t="shared" si="29"/>
        <v>1226.2759622509468</v>
      </c>
      <c r="BF47" s="7"/>
      <c r="BG47" s="40">
        <v>6.2465125954303424</v>
      </c>
      <c r="BH47" s="44">
        <v>4.2789174643664545</v>
      </c>
      <c r="BI47" s="44">
        <v>8.8556163811748849</v>
      </c>
      <c r="BJ47" s="38">
        <v>550.31671305309692</v>
      </c>
      <c r="BK47" s="38">
        <v>508.23397236109179</v>
      </c>
      <c r="BL47" s="38">
        <v>135.7869498230356</v>
      </c>
      <c r="BM47" s="40">
        <f t="shared" si="30"/>
        <v>8.4269808154692605</v>
      </c>
      <c r="BN47" s="7"/>
      <c r="BO47" s="39">
        <f t="shared" si="31"/>
        <v>278.76709361721282</v>
      </c>
      <c r="BP47" s="39">
        <f t="shared" si="22"/>
        <v>292.11678925284906</v>
      </c>
      <c r="BQ47" s="40">
        <f t="shared" si="23"/>
        <v>570.88388287006183</v>
      </c>
      <c r="BS47" s="41">
        <v>87.01974100000001</v>
      </c>
      <c r="BT47" s="41">
        <v>0</v>
      </c>
      <c r="BU47" s="41">
        <v>0</v>
      </c>
      <c r="BV47" s="41">
        <v>0</v>
      </c>
      <c r="BW47" s="41">
        <v>0</v>
      </c>
      <c r="BX47" s="41">
        <v>0</v>
      </c>
      <c r="BY47" s="42">
        <f t="shared" si="9"/>
        <v>87.01974100000001</v>
      </c>
      <c r="BZ47" s="41">
        <v>0</v>
      </c>
      <c r="CA47" s="41">
        <v>0</v>
      </c>
      <c r="CB47" s="41">
        <v>0</v>
      </c>
      <c r="CC47" s="41">
        <v>13.588799999999999</v>
      </c>
      <c r="CD47" s="41">
        <v>18.988</v>
      </c>
      <c r="CE47" s="41"/>
      <c r="CF47" s="42">
        <f t="shared" si="19"/>
        <v>32.576799999999999</v>
      </c>
      <c r="CG47" s="7"/>
      <c r="CH47" s="41">
        <v>138.19999999999999</v>
      </c>
      <c r="CI47" s="41">
        <v>0</v>
      </c>
      <c r="CJ47" s="41">
        <v>0</v>
      </c>
      <c r="CK47" s="41">
        <v>0</v>
      </c>
      <c r="CL47" s="41">
        <v>0</v>
      </c>
      <c r="CM47" s="42">
        <f t="shared" si="20"/>
        <v>138.19999999999999</v>
      </c>
      <c r="CN47" s="41">
        <v>0</v>
      </c>
      <c r="CO47" s="41">
        <v>0</v>
      </c>
      <c r="CP47" s="41">
        <v>120</v>
      </c>
      <c r="CQ47" s="41">
        <v>28.426315789473687</v>
      </c>
      <c r="CR47" s="41">
        <v>0</v>
      </c>
      <c r="CS47" s="42">
        <f t="shared" si="10"/>
        <v>66.624557482948802</v>
      </c>
      <c r="CU47" s="64">
        <v>75.449340932746566</v>
      </c>
      <c r="CV47" s="64">
        <v>6.6972056382333234</v>
      </c>
      <c r="CW47" s="64">
        <v>3.2410402291701619</v>
      </c>
      <c r="CX47" s="65">
        <v>1.1124131998499474</v>
      </c>
      <c r="CY47" s="66">
        <v>86.500000000000014</v>
      </c>
      <c r="DA47" s="42">
        <v>11307.447194444438</v>
      </c>
      <c r="DB47" s="40">
        <v>119.15183368742214</v>
      </c>
      <c r="DD47" s="42">
        <v>2494.1757858761052</v>
      </c>
      <c r="DE47" s="39">
        <f t="shared" si="34"/>
        <v>26.055173591862097</v>
      </c>
      <c r="DF47" s="55">
        <f t="shared" si="32"/>
        <v>0.30121587967470626</v>
      </c>
      <c r="DH47" s="39"/>
      <c r="DI47" s="42"/>
      <c r="DK47" s="42"/>
      <c r="DL47" s="42"/>
      <c r="DN47" s="41"/>
      <c r="DO47" s="41"/>
      <c r="DQ47" s="39"/>
      <c r="DR47" s="39"/>
      <c r="DT47" s="56"/>
      <c r="DU47" s="56"/>
      <c r="DV47" s="55"/>
      <c r="DX47" s="39"/>
      <c r="DY47" s="39"/>
      <c r="DZ47" s="39"/>
      <c r="EA47" s="39"/>
      <c r="EB47" s="39"/>
      <c r="EC47" s="39"/>
      <c r="ED47" s="39"/>
      <c r="EE47" s="42"/>
      <c r="EF47" s="39"/>
      <c r="EG47" s="39"/>
      <c r="EH47" s="39"/>
      <c r="EI47" s="42"/>
      <c r="EJ47" s="39"/>
      <c r="EK47" s="39"/>
      <c r="EL47" s="39"/>
      <c r="EM47" s="39"/>
      <c r="EN47" s="42"/>
      <c r="EO47" s="39"/>
      <c r="EP47" s="71">
        <f t="shared" si="33"/>
        <v>12529.409744000004</v>
      </c>
    </row>
    <row r="48" spans="1:146" x14ac:dyDescent="0.4">
      <c r="A48" s="26">
        <f t="shared" si="13"/>
        <v>2021</v>
      </c>
      <c r="B48" s="27">
        <v>44378</v>
      </c>
      <c r="C48" s="28">
        <v>31</v>
      </c>
      <c r="D48" s="29">
        <v>95.750548387097552</v>
      </c>
      <c r="E48" s="29">
        <v>96.685000000000002</v>
      </c>
      <c r="F48" s="29">
        <v>72.489999999999995</v>
      </c>
      <c r="G48" s="29">
        <v>75.17</v>
      </c>
      <c r="H48" s="7"/>
      <c r="I48" s="30">
        <v>12.248387096774193</v>
      </c>
      <c r="J48" s="29">
        <v>18.899999999999999</v>
      </c>
      <c r="K48" s="29">
        <v>7.4</v>
      </c>
      <c r="L48" s="30">
        <v>11.100000000000001</v>
      </c>
      <c r="M48" s="22"/>
      <c r="N48" s="31">
        <v>6268.4174789999997</v>
      </c>
      <c r="O48" s="31">
        <v>3088.5648969999997</v>
      </c>
      <c r="P48" s="32">
        <f t="shared" si="15"/>
        <v>9356.9823759999999</v>
      </c>
      <c r="Q48" s="31">
        <v>1094.6794760000002</v>
      </c>
      <c r="R48" s="31">
        <v>362.99204099999997</v>
      </c>
      <c r="S48" s="31">
        <v>1604.3065020000008</v>
      </c>
      <c r="T48" s="31"/>
      <c r="U48" s="32">
        <f t="shared" si="16"/>
        <v>3061.978019000001</v>
      </c>
      <c r="V48" s="32">
        <f t="shared" si="24"/>
        <v>12418.960395000002</v>
      </c>
      <c r="W48" s="33">
        <v>161.16186400000001</v>
      </c>
      <c r="X48" s="32">
        <f t="shared" si="25"/>
        <v>12580.122259000002</v>
      </c>
      <c r="Z48" s="32">
        <v>24816</v>
      </c>
      <c r="AB48" s="34">
        <v>8430.7963010000021</v>
      </c>
      <c r="AC48" s="34">
        <v>1101.3589920000002</v>
      </c>
      <c r="AD48" s="34">
        <v>3416.140093</v>
      </c>
      <c r="AE48" s="34">
        <v>62.219695999999999</v>
      </c>
      <c r="AF48" s="32">
        <f t="shared" si="2"/>
        <v>13010.515082000002</v>
      </c>
      <c r="AH48" s="31">
        <v>1818.2415510000001</v>
      </c>
      <c r="AI48" s="31">
        <v>62.210431000000007</v>
      </c>
      <c r="AJ48" s="31">
        <v>1291.3559230000001</v>
      </c>
      <c r="AK48" s="31">
        <v>139.179787</v>
      </c>
      <c r="AL48" s="31">
        <v>69.630322000000007</v>
      </c>
      <c r="AM48" s="31">
        <v>35.522078999999998</v>
      </c>
      <c r="AN48" s="32">
        <f t="shared" si="17"/>
        <v>1597.8985420000001</v>
      </c>
      <c r="AO48" s="35">
        <f t="shared" si="26"/>
        <v>0.12866604701012899</v>
      </c>
      <c r="AQ48" s="30">
        <v>44.534366903225809</v>
      </c>
      <c r="AR48" s="36">
        <f t="shared" si="18"/>
        <v>25.085975101151924</v>
      </c>
      <c r="AS48" s="36">
        <f t="shared" si="18"/>
        <v>19.448391802073896</v>
      </c>
      <c r="AT48" s="30">
        <v>93.827121999999974</v>
      </c>
      <c r="AU48" s="30">
        <v>304.31196600000004</v>
      </c>
      <c r="AV48" s="30">
        <v>79.881635000000003</v>
      </c>
      <c r="AW48" s="30">
        <f t="shared" si="27"/>
        <v>59.74889567772658</v>
      </c>
      <c r="AX48" s="7"/>
      <c r="AY48" s="36">
        <v>24.160466391474504</v>
      </c>
      <c r="AZ48" s="36">
        <v>19.448391802073896</v>
      </c>
      <c r="BA48" s="36">
        <v>0.92550870967741938</v>
      </c>
      <c r="BB48" s="36">
        <v>0</v>
      </c>
      <c r="BC48" s="7"/>
      <c r="BD48" s="32">
        <f t="shared" si="28"/>
        <v>1845.4499289271819</v>
      </c>
      <c r="BE48" s="32">
        <f t="shared" si="29"/>
        <v>1195.8490756453818</v>
      </c>
      <c r="BF48" s="7"/>
      <c r="BG48" s="30">
        <v>6.6528174811071983</v>
      </c>
      <c r="BH48" s="36">
        <v>4.7011809591265461</v>
      </c>
      <c r="BI48" s="36">
        <v>9.1701827057055922</v>
      </c>
      <c r="BJ48" s="28">
        <v>577.09357981232745</v>
      </c>
      <c r="BK48" s="28">
        <v>544.13586677264493</v>
      </c>
      <c r="BL48" s="28">
        <v>153.97182369605684</v>
      </c>
      <c r="BM48" s="30">
        <f t="shared" si="30"/>
        <v>8.3411215382848631</v>
      </c>
      <c r="BN48" s="7"/>
      <c r="BO48" s="29">
        <f t="shared" si="31"/>
        <v>340.17220199846292</v>
      </c>
      <c r="BP48" s="29">
        <f t="shared" si="22"/>
        <v>232.03360612793844</v>
      </c>
      <c r="BQ48" s="30">
        <f t="shared" si="23"/>
        <v>572.20580812640139</v>
      </c>
      <c r="BS48" s="31">
        <v>161.16175900000002</v>
      </c>
      <c r="BT48" s="31">
        <v>0</v>
      </c>
      <c r="BU48" s="31">
        <v>1.05E-4</v>
      </c>
      <c r="BV48" s="31">
        <v>0</v>
      </c>
      <c r="BW48" s="31">
        <v>0</v>
      </c>
      <c r="BX48" s="31">
        <v>0</v>
      </c>
      <c r="BY48" s="32">
        <f t="shared" si="9"/>
        <v>161.16186400000001</v>
      </c>
      <c r="BZ48" s="31">
        <v>0</v>
      </c>
      <c r="CA48" s="31">
        <v>0</v>
      </c>
      <c r="CB48" s="31">
        <v>0</v>
      </c>
      <c r="CC48" s="31">
        <v>14.418696000000001</v>
      </c>
      <c r="CD48" s="31">
        <v>47.801000000000002</v>
      </c>
      <c r="CE48" s="31"/>
      <c r="CF48" s="32">
        <f t="shared" si="19"/>
        <v>62.219695999999999</v>
      </c>
      <c r="CG48" s="7"/>
      <c r="CH48" s="31">
        <v>165.2</v>
      </c>
      <c r="CI48" s="31">
        <v>0</v>
      </c>
      <c r="CJ48" s="31">
        <v>0</v>
      </c>
      <c r="CK48" s="31">
        <v>0</v>
      </c>
      <c r="CL48" s="31">
        <v>0</v>
      </c>
      <c r="CM48" s="32">
        <f t="shared" si="20"/>
        <v>165.19989236907807</v>
      </c>
      <c r="CN48" s="31">
        <v>0</v>
      </c>
      <c r="CO48" s="31">
        <v>0</v>
      </c>
      <c r="CP48" s="31">
        <v>120</v>
      </c>
      <c r="CQ48" s="31">
        <v>55.168200836820084</v>
      </c>
      <c r="CR48" s="31">
        <v>0</v>
      </c>
      <c r="CS48" s="32">
        <f t="shared" si="10"/>
        <v>70.192221578852397</v>
      </c>
      <c r="CU48" s="61">
        <v>74.118236909410754</v>
      </c>
      <c r="CV48" s="61">
        <v>6.4115241979480206</v>
      </c>
      <c r="CW48" s="61">
        <v>6.3258180901020964</v>
      </c>
      <c r="CX48" s="62">
        <v>1.1044208025391451</v>
      </c>
      <c r="CY48" s="63">
        <v>87.960000000000022</v>
      </c>
      <c r="DA48" s="32">
        <v>10594.91739247314</v>
      </c>
      <c r="DB48" s="30">
        <v>110.63586421640655</v>
      </c>
      <c r="DD48" s="50">
        <v>2480.6514788936333</v>
      </c>
      <c r="DE48" s="29">
        <f t="shared" si="34"/>
        <v>25.657045859167745</v>
      </c>
      <c r="DF48" s="51">
        <f t="shared" si="32"/>
        <v>0.29168992563856</v>
      </c>
      <c r="DH48" s="33"/>
      <c r="DI48" s="32"/>
      <c r="DK48" s="50"/>
      <c r="DL48" s="50"/>
      <c r="DN48" s="31"/>
      <c r="DO48" s="31"/>
      <c r="DQ48" s="29"/>
      <c r="DR48" s="29"/>
      <c r="DT48" s="54"/>
      <c r="DU48" s="54"/>
      <c r="DV48" s="51"/>
      <c r="DX48" s="33"/>
      <c r="DY48" s="33"/>
      <c r="DZ48" s="33"/>
      <c r="EA48" s="33"/>
      <c r="EB48" s="33"/>
      <c r="EC48" s="33"/>
      <c r="ED48" s="33"/>
      <c r="EE48" s="32"/>
      <c r="EF48" s="33"/>
      <c r="EG48" s="33"/>
      <c r="EH48" s="33"/>
      <c r="EI48" s="32"/>
      <c r="EJ48" s="33"/>
      <c r="EK48" s="33"/>
      <c r="EL48" s="33"/>
      <c r="EM48" s="33"/>
      <c r="EN48" s="32"/>
      <c r="EO48" s="32"/>
      <c r="EP48" s="70">
        <f t="shared" si="33"/>
        <v>13010.515082000002</v>
      </c>
    </row>
    <row r="49" spans="1:146" x14ac:dyDescent="0.4">
      <c r="A49" s="22">
        <f t="shared" si="13"/>
        <v>2021</v>
      </c>
      <c r="B49" s="37">
        <v>44409</v>
      </c>
      <c r="C49" s="38">
        <v>31</v>
      </c>
      <c r="D49" s="39">
        <v>96.775806451613718</v>
      </c>
      <c r="E49" s="39">
        <v>97.7517</v>
      </c>
      <c r="F49" s="39">
        <v>67.73</v>
      </c>
      <c r="G49" s="39">
        <v>70.75</v>
      </c>
      <c r="H49" s="7"/>
      <c r="I49" s="40">
        <v>13.220967741935485</v>
      </c>
      <c r="J49" s="39">
        <v>22.15</v>
      </c>
      <c r="K49" s="39">
        <v>7.1</v>
      </c>
      <c r="L49" s="40">
        <v>12.600000000000001</v>
      </c>
      <c r="M49" s="22"/>
      <c r="N49" s="41">
        <v>5534.851967999999</v>
      </c>
      <c r="O49" s="41">
        <v>3036.9431489999997</v>
      </c>
      <c r="P49" s="42">
        <f t="shared" si="15"/>
        <v>8571.7951169999978</v>
      </c>
      <c r="Q49" s="41">
        <v>1084.4107770000005</v>
      </c>
      <c r="R49" s="41">
        <v>368.01022699999993</v>
      </c>
      <c r="S49" s="41">
        <v>1636.071681000001</v>
      </c>
      <c r="T49" s="41"/>
      <c r="U49" s="42">
        <f t="shared" si="16"/>
        <v>3088.4926850000015</v>
      </c>
      <c r="V49" s="42">
        <f t="shared" si="24"/>
        <v>11660.287801999999</v>
      </c>
      <c r="W49" s="39">
        <v>679.63538300000005</v>
      </c>
      <c r="X49" s="42">
        <f t="shared" si="25"/>
        <v>12339.923185</v>
      </c>
      <c r="Z49" s="42">
        <v>23851</v>
      </c>
      <c r="AB49" s="41">
        <v>8522.298539999998</v>
      </c>
      <c r="AC49" s="41">
        <v>1062.895033</v>
      </c>
      <c r="AD49" s="41">
        <v>3171.635996</v>
      </c>
      <c r="AE49" s="41">
        <v>16.913921999999999</v>
      </c>
      <c r="AF49" s="42">
        <f t="shared" si="2"/>
        <v>12773.743490999997</v>
      </c>
      <c r="AH49" s="41">
        <v>1617.1978399999998</v>
      </c>
      <c r="AI49" s="41">
        <v>66.812275000000028</v>
      </c>
      <c r="AJ49" s="41">
        <v>1205.236089</v>
      </c>
      <c r="AK49" s="41">
        <v>165.22163</v>
      </c>
      <c r="AL49" s="41">
        <v>80.66932700000001</v>
      </c>
      <c r="AM49" s="41">
        <v>36.498835</v>
      </c>
      <c r="AN49" s="42">
        <f t="shared" si="17"/>
        <v>1554.4381560000002</v>
      </c>
      <c r="AO49" s="43">
        <f t="shared" si="26"/>
        <v>0.1333104450246399</v>
      </c>
      <c r="AQ49" s="40">
        <v>52.562366161290321</v>
      </c>
      <c r="AR49" s="44">
        <f t="shared" si="18"/>
        <v>28.219440526006732</v>
      </c>
      <c r="AS49" s="44">
        <f t="shared" si="18"/>
        <v>24.342925635283589</v>
      </c>
      <c r="AT49" s="40">
        <v>30.695349999999998</v>
      </c>
      <c r="AU49" s="40">
        <v>116.546092</v>
      </c>
      <c r="AV49" s="40">
        <v>84.172334999999975</v>
      </c>
      <c r="AW49" s="40">
        <f t="shared" si="27"/>
        <v>59.303189926113667</v>
      </c>
      <c r="AX49" s="7"/>
      <c r="AY49" s="44">
        <v>27.116709558264798</v>
      </c>
      <c r="AZ49" s="44">
        <v>24.342925635283589</v>
      </c>
      <c r="BA49" s="44">
        <v>1.1027309677419355</v>
      </c>
      <c r="BB49" s="44">
        <v>0</v>
      </c>
      <c r="BC49" s="7"/>
      <c r="BD49" s="38">
        <f t="shared" si="28"/>
        <v>1812.017096594225</v>
      </c>
      <c r="BE49" s="38">
        <f t="shared" si="29"/>
        <v>1208.9291340193549</v>
      </c>
      <c r="BF49" s="7"/>
      <c r="BG49" s="40">
        <v>7.7710365498484482</v>
      </c>
      <c r="BH49" s="44">
        <v>4.9522819772314941</v>
      </c>
      <c r="BI49" s="44">
        <v>11.038666670037449</v>
      </c>
      <c r="BJ49" s="38">
        <v>584.39438253953324</v>
      </c>
      <c r="BK49" s="38">
        <v>543.5778663500198</v>
      </c>
      <c r="BL49" s="38">
        <v>156.80000000000007</v>
      </c>
      <c r="BM49" s="40">
        <f t="shared" si="30"/>
        <v>8.2754455580135016</v>
      </c>
      <c r="BN49" s="7"/>
      <c r="BO49" s="39">
        <f t="shared" si="31"/>
        <v>468.97726393196427</v>
      </c>
      <c r="BP49" s="39">
        <f t="shared" si="22"/>
        <v>94.488288258877958</v>
      </c>
      <c r="BQ49" s="40">
        <f t="shared" si="23"/>
        <v>563.46555219084223</v>
      </c>
      <c r="BS49" s="41">
        <v>675.54640799999993</v>
      </c>
      <c r="BT49" s="41">
        <v>0</v>
      </c>
      <c r="BU49" s="41">
        <v>9.7500000000000006E-4</v>
      </c>
      <c r="BV49" s="41">
        <v>0</v>
      </c>
      <c r="BW49" s="41">
        <v>4.0880000000000001</v>
      </c>
      <c r="BX49" s="41">
        <v>0</v>
      </c>
      <c r="BY49" s="42">
        <f t="shared" si="9"/>
        <v>679.63538299999993</v>
      </c>
      <c r="BZ49" s="41">
        <v>0</v>
      </c>
      <c r="CA49" s="41">
        <v>0</v>
      </c>
      <c r="CB49" s="41">
        <v>0</v>
      </c>
      <c r="CC49" s="41">
        <v>14.222922000000001</v>
      </c>
      <c r="CD49" s="41">
        <v>2.6909999999999998</v>
      </c>
      <c r="CE49" s="41"/>
      <c r="CF49" s="42">
        <f t="shared" si="19"/>
        <v>16.913921999999999</v>
      </c>
      <c r="CG49" s="7"/>
      <c r="CH49" s="41">
        <v>236.5</v>
      </c>
      <c r="CI49" s="41">
        <v>0</v>
      </c>
      <c r="CJ49" s="41">
        <v>0</v>
      </c>
      <c r="CK49" s="41">
        <v>200</v>
      </c>
      <c r="CL49" s="41">
        <v>0</v>
      </c>
      <c r="CM49" s="42">
        <f t="shared" si="20"/>
        <v>236.28011358555179</v>
      </c>
      <c r="CN49" s="41">
        <v>0</v>
      </c>
      <c r="CO49" s="41">
        <v>0</v>
      </c>
      <c r="CP49" s="41">
        <v>120</v>
      </c>
      <c r="CQ49" s="41">
        <v>28</v>
      </c>
      <c r="CR49" s="41">
        <v>0</v>
      </c>
      <c r="CS49" s="42">
        <f t="shared" si="10"/>
        <v>105.36282714322556</v>
      </c>
      <c r="CU49" s="64">
        <v>74.621504595542504</v>
      </c>
      <c r="CV49" s="64">
        <v>6.8860669351272028</v>
      </c>
      <c r="CW49" s="64">
        <v>3.8878850832433076</v>
      </c>
      <c r="CX49" s="65">
        <v>1.1245433860869998</v>
      </c>
      <c r="CY49" s="66">
        <v>86.52000000000001</v>
      </c>
      <c r="DA49" s="42">
        <v>9905.2253091397943</v>
      </c>
      <c r="DB49" s="40">
        <v>102.38536671941864</v>
      </c>
      <c r="DD49" s="42">
        <v>2661.8458505561789</v>
      </c>
      <c r="DE49" s="39">
        <f t="shared" si="34"/>
        <v>27.230686019334485</v>
      </c>
      <c r="DF49" s="55">
        <f t="shared" si="32"/>
        <v>0.31473284811990848</v>
      </c>
      <c r="DH49" s="39"/>
      <c r="DI49" s="42"/>
      <c r="DK49" s="42"/>
      <c r="DL49" s="42"/>
      <c r="DN49" s="41"/>
      <c r="DO49" s="41"/>
      <c r="DQ49" s="39"/>
      <c r="DR49" s="39"/>
      <c r="DT49" s="56"/>
      <c r="DU49" s="56"/>
      <c r="DV49" s="55"/>
      <c r="DX49" s="39"/>
      <c r="DY49" s="39"/>
      <c r="DZ49" s="39"/>
      <c r="EA49" s="39"/>
      <c r="EB49" s="39"/>
      <c r="EC49" s="39"/>
      <c r="ED49" s="39"/>
      <c r="EE49" s="42"/>
      <c r="EF49" s="39"/>
      <c r="EG49" s="39"/>
      <c r="EH49" s="39"/>
      <c r="EI49" s="42"/>
      <c r="EJ49" s="39"/>
      <c r="EK49" s="39"/>
      <c r="EL49" s="39"/>
      <c r="EM49" s="39"/>
      <c r="EN49" s="42"/>
      <c r="EO49" s="39"/>
      <c r="EP49" s="71">
        <f t="shared" si="33"/>
        <v>12773.743490999997</v>
      </c>
    </row>
    <row r="50" spans="1:146" x14ac:dyDescent="0.4">
      <c r="A50" s="26">
        <f t="shared" si="13"/>
        <v>2021</v>
      </c>
      <c r="B50" s="27">
        <v>44440</v>
      </c>
      <c r="C50" s="28">
        <v>30</v>
      </c>
      <c r="D50" s="29">
        <v>97.734799999998501</v>
      </c>
      <c r="E50" s="29">
        <v>98.734999999999999</v>
      </c>
      <c r="F50" s="29">
        <v>71.650000000000006</v>
      </c>
      <c r="G50" s="29">
        <v>74.489999999999995</v>
      </c>
      <c r="H50" s="7"/>
      <c r="I50" s="30">
        <v>15.973333333333336</v>
      </c>
      <c r="J50" s="29">
        <v>20.399999999999999</v>
      </c>
      <c r="K50" s="29">
        <v>11.65</v>
      </c>
      <c r="L50" s="30">
        <v>14.5</v>
      </c>
      <c r="M50" s="22"/>
      <c r="N50" s="31">
        <v>4460.0192169999991</v>
      </c>
      <c r="O50" s="31">
        <v>2886.2380909999993</v>
      </c>
      <c r="P50" s="32">
        <f t="shared" si="15"/>
        <v>7346.2573079999984</v>
      </c>
      <c r="Q50" s="31">
        <v>1038.9037440000002</v>
      </c>
      <c r="R50" s="31">
        <v>368.07884500000006</v>
      </c>
      <c r="S50" s="31">
        <v>1621.5541830000002</v>
      </c>
      <c r="T50" s="31"/>
      <c r="U50" s="32">
        <f t="shared" si="16"/>
        <v>3028.5367720000004</v>
      </c>
      <c r="V50" s="32">
        <f t="shared" si="24"/>
        <v>10374.79408</v>
      </c>
      <c r="W50" s="33">
        <v>898.00479900000005</v>
      </c>
      <c r="X50" s="32">
        <f t="shared" si="25"/>
        <v>11272.798879</v>
      </c>
      <c r="Z50" s="32">
        <v>20771</v>
      </c>
      <c r="AB50" s="34">
        <v>6871.6128479999961</v>
      </c>
      <c r="AC50" s="34">
        <v>778.49200900000005</v>
      </c>
      <c r="AD50" s="34">
        <v>3703.3229869999996</v>
      </c>
      <c r="AE50" s="34">
        <v>306.86818199999999</v>
      </c>
      <c r="AF50" s="32">
        <f t="shared" si="2"/>
        <v>11660.296025999996</v>
      </c>
      <c r="AH50" s="31">
        <v>2233.6813030000003</v>
      </c>
      <c r="AI50" s="31">
        <v>108.620513</v>
      </c>
      <c r="AJ50" s="31">
        <v>1053.9057619999996</v>
      </c>
      <c r="AK50" s="31">
        <v>194.64488699999998</v>
      </c>
      <c r="AL50" s="31">
        <v>76.293608000000006</v>
      </c>
      <c r="AM50" s="31">
        <v>36.176913999999996</v>
      </c>
      <c r="AN50" s="32">
        <f t="shared" si="17"/>
        <v>1469.6416839999995</v>
      </c>
      <c r="AO50" s="35">
        <f t="shared" si="26"/>
        <v>0.1416550220339409</v>
      </c>
      <c r="AQ50" s="30">
        <v>40.782723133333299</v>
      </c>
      <c r="AR50" s="36">
        <f t="shared" si="18"/>
        <v>35.391622152601379</v>
      </c>
      <c r="AS50" s="36">
        <f t="shared" si="18"/>
        <v>5.3911009807319115</v>
      </c>
      <c r="AT50" s="30">
        <v>66.372702000000018</v>
      </c>
      <c r="AU50" s="30">
        <v>148.98427100000001</v>
      </c>
      <c r="AV50" s="30">
        <v>95.793730000000025</v>
      </c>
      <c r="AW50" s="30">
        <f t="shared" si="27"/>
        <v>50.489166255476157</v>
      </c>
      <c r="AX50" s="7"/>
      <c r="AY50" s="36">
        <v>34.447650485934709</v>
      </c>
      <c r="AZ50" s="36">
        <v>5.3911009807319115</v>
      </c>
      <c r="BA50" s="36">
        <v>0.94397166666666654</v>
      </c>
      <c r="BB50" s="36">
        <v>0</v>
      </c>
      <c r="BC50" s="7"/>
      <c r="BD50" s="32">
        <f t="shared" si="28"/>
        <v>1851.5696646214781</v>
      </c>
      <c r="BE50" s="32">
        <f t="shared" si="29"/>
        <v>1091.1618253953234</v>
      </c>
      <c r="BF50" s="7"/>
      <c r="BG50" s="30">
        <v>5.5850773910308025</v>
      </c>
      <c r="BH50" s="36">
        <v>4.5276846321046564</v>
      </c>
      <c r="BI50" s="36">
        <v>12.52667338868735</v>
      </c>
      <c r="BJ50" s="28">
        <v>583.96335196343966</v>
      </c>
      <c r="BK50" s="28">
        <v>543.30980386300075</v>
      </c>
      <c r="BL50" s="28">
        <v>169.51</v>
      </c>
      <c r="BM50" s="30">
        <f t="shared" si="30"/>
        <v>6.9346028677740161</v>
      </c>
      <c r="BN50" s="7"/>
      <c r="BO50" s="29">
        <f t="shared" si="31"/>
        <v>253.08296101849851</v>
      </c>
      <c r="BP50" s="29">
        <f t="shared" si="22"/>
        <v>135.94183576677264</v>
      </c>
      <c r="BQ50" s="30">
        <f t="shared" si="23"/>
        <v>389.02479678527118</v>
      </c>
      <c r="BS50" s="31">
        <v>898.00196900000003</v>
      </c>
      <c r="BT50" s="31">
        <v>0</v>
      </c>
      <c r="BU50" s="31">
        <v>2.8300000000000001E-3</v>
      </c>
      <c r="BV50" s="31">
        <v>0</v>
      </c>
      <c r="BW50" s="31">
        <v>0</v>
      </c>
      <c r="BX50" s="31">
        <v>0</v>
      </c>
      <c r="BY50" s="32">
        <f t="shared" si="9"/>
        <v>898.00479900000005</v>
      </c>
      <c r="BZ50" s="31">
        <v>0</v>
      </c>
      <c r="CA50" s="31">
        <v>0</v>
      </c>
      <c r="CB50" s="31">
        <v>0</v>
      </c>
      <c r="CC50" s="31">
        <v>12.658182</v>
      </c>
      <c r="CD50" s="31">
        <v>294.20999999999998</v>
      </c>
      <c r="CE50" s="31"/>
      <c r="CF50" s="32">
        <f t="shared" si="19"/>
        <v>306.86818199999999</v>
      </c>
      <c r="CG50" s="7"/>
      <c r="CH50" s="31">
        <v>287.10000000000002</v>
      </c>
      <c r="CI50" s="31">
        <v>0</v>
      </c>
      <c r="CJ50" s="31">
        <v>0</v>
      </c>
      <c r="CK50" s="31">
        <v>0</v>
      </c>
      <c r="CL50" s="31">
        <v>0</v>
      </c>
      <c r="CM50" s="32">
        <f t="shared" si="20"/>
        <v>287.09909522421162</v>
      </c>
      <c r="CN50" s="31">
        <v>0</v>
      </c>
      <c r="CO50" s="31">
        <v>0</v>
      </c>
      <c r="CP50" s="31">
        <v>120</v>
      </c>
      <c r="CQ50" s="31">
        <v>196.31866077498302</v>
      </c>
      <c r="CR50" s="31">
        <v>0</v>
      </c>
      <c r="CS50" s="32">
        <f t="shared" si="10"/>
        <v>193.17054847546154</v>
      </c>
      <c r="CU50" s="61">
        <v>64.304752901883916</v>
      </c>
      <c r="CV50" s="61">
        <v>7.7220360404440935</v>
      </c>
      <c r="CW50" s="61">
        <v>5.2762050912655845</v>
      </c>
      <c r="CX50" s="62">
        <v>1.1770059664063834</v>
      </c>
      <c r="CY50" s="63">
        <v>78.479999999999976</v>
      </c>
      <c r="DA50" s="32">
        <v>10197.228749999998</v>
      </c>
      <c r="DB50" s="30">
        <v>104.34685359596011</v>
      </c>
      <c r="DD50" s="50">
        <v>2733.1308350712902</v>
      </c>
      <c r="DE50" s="29">
        <f t="shared" si="34"/>
        <v>27.681479060832434</v>
      </c>
      <c r="DF50" s="51">
        <f t="shared" si="32"/>
        <v>0.35272017151927171</v>
      </c>
      <c r="DH50" s="33"/>
      <c r="DI50" s="32"/>
      <c r="DK50" s="50"/>
      <c r="DL50" s="50"/>
      <c r="DN50" s="31"/>
      <c r="DO50" s="31"/>
      <c r="DQ50" s="29"/>
      <c r="DR50" s="29"/>
      <c r="DT50" s="54"/>
      <c r="DU50" s="54"/>
      <c r="DV50" s="51"/>
      <c r="DX50" s="33"/>
      <c r="DY50" s="33"/>
      <c r="DZ50" s="33"/>
      <c r="EA50" s="33"/>
      <c r="EB50" s="33"/>
      <c r="EC50" s="33"/>
      <c r="ED50" s="33"/>
      <c r="EE50" s="32"/>
      <c r="EF50" s="33"/>
      <c r="EG50" s="33"/>
      <c r="EH50" s="33"/>
      <c r="EI50" s="32"/>
      <c r="EJ50" s="33"/>
      <c r="EK50" s="33"/>
      <c r="EL50" s="33"/>
      <c r="EM50" s="33"/>
      <c r="EN50" s="32"/>
      <c r="EO50" s="32"/>
      <c r="EP50" s="70">
        <f t="shared" si="33"/>
        <v>11660.296025999996</v>
      </c>
    </row>
    <row r="51" spans="1:146" x14ac:dyDescent="0.4">
      <c r="A51" s="22">
        <f t="shared" si="13"/>
        <v>2021</v>
      </c>
      <c r="B51" s="37">
        <v>44470</v>
      </c>
      <c r="C51" s="38">
        <v>31</v>
      </c>
      <c r="D51" s="39">
        <v>98.793612903224371</v>
      </c>
      <c r="E51" s="39">
        <v>99.721699999999998</v>
      </c>
      <c r="F51" s="39">
        <v>81.48</v>
      </c>
      <c r="G51" s="39">
        <v>83.54</v>
      </c>
      <c r="H51" s="7"/>
      <c r="I51" s="40">
        <v>18.809677419354834</v>
      </c>
      <c r="J51" s="39">
        <v>27.55</v>
      </c>
      <c r="K51" s="39">
        <v>11.4</v>
      </c>
      <c r="L51" s="40">
        <v>17.3</v>
      </c>
      <c r="M51" s="22"/>
      <c r="N51" s="41">
        <v>4481.150251</v>
      </c>
      <c r="O51" s="41">
        <v>2994.180437</v>
      </c>
      <c r="P51" s="42">
        <f t="shared" si="15"/>
        <v>7475.330688</v>
      </c>
      <c r="Q51" s="41">
        <v>1062.5720710000001</v>
      </c>
      <c r="R51" s="41">
        <v>360.88738699999999</v>
      </c>
      <c r="S51" s="41">
        <v>1552.5340470000006</v>
      </c>
      <c r="T51" s="41"/>
      <c r="U51" s="42">
        <f t="shared" si="16"/>
        <v>2975.9935050000004</v>
      </c>
      <c r="V51" s="42">
        <f t="shared" si="24"/>
        <v>10451.324193</v>
      </c>
      <c r="W51" s="39">
        <v>430.95727399999998</v>
      </c>
      <c r="X51" s="42">
        <f t="shared" si="25"/>
        <v>10882.281467000001</v>
      </c>
      <c r="Z51" s="42">
        <v>23317</v>
      </c>
      <c r="AB51" s="41">
        <v>6154.8246779999972</v>
      </c>
      <c r="AC51" s="41">
        <v>908.89801699999998</v>
      </c>
      <c r="AD51" s="41">
        <v>4147.8088620000008</v>
      </c>
      <c r="AE51" s="41">
        <v>96.746080000000006</v>
      </c>
      <c r="AF51" s="42">
        <f t="shared" si="2"/>
        <v>11308.277636999999</v>
      </c>
      <c r="AH51" s="41">
        <v>2424.7656510000002</v>
      </c>
      <c r="AI51" s="41">
        <v>108.11820400000002</v>
      </c>
      <c r="AJ51" s="41">
        <v>1234.2132339999998</v>
      </c>
      <c r="AK51" s="41">
        <v>266.27887300000003</v>
      </c>
      <c r="AL51" s="41">
        <v>77.042782000000003</v>
      </c>
      <c r="AM51" s="41">
        <v>37.390117999999994</v>
      </c>
      <c r="AN51" s="42">
        <f t="shared" si="17"/>
        <v>1723.0432109999999</v>
      </c>
      <c r="AO51" s="43">
        <f t="shared" si="26"/>
        <v>0.16486362676932798</v>
      </c>
      <c r="AQ51" s="40">
        <v>39.112402935483878</v>
      </c>
      <c r="AR51" s="44">
        <f t="shared" si="18"/>
        <v>35.140460528749024</v>
      </c>
      <c r="AS51" s="44">
        <f t="shared" si="18"/>
        <v>3.9719424067348554</v>
      </c>
      <c r="AT51" s="40">
        <v>25.887651999999999</v>
      </c>
      <c r="AU51" s="40">
        <v>112.570633</v>
      </c>
      <c r="AV51" s="40">
        <v>45.044270000000004</v>
      </c>
      <c r="AW51" s="40">
        <f t="shared" si="27"/>
        <v>44.729891717127501</v>
      </c>
      <c r="AX51" s="7"/>
      <c r="AY51" s="44">
        <v>34.374972786813544</v>
      </c>
      <c r="AZ51" s="44">
        <v>3.9719424067348554</v>
      </c>
      <c r="BA51" s="44">
        <v>0.76548774193548386</v>
      </c>
      <c r="BB51" s="44">
        <v>0</v>
      </c>
      <c r="BC51" s="7"/>
      <c r="BD51" s="38">
        <f t="shared" si="28"/>
        <v>1892.444450087065</v>
      </c>
      <c r="BE51" s="38">
        <f t="shared" si="29"/>
        <v>1030.0121890383689</v>
      </c>
      <c r="BF51" s="7"/>
      <c r="BG51" s="40">
        <v>3.4310095561937333</v>
      </c>
      <c r="BH51" s="44">
        <v>2.9868361911667365</v>
      </c>
      <c r="BI51" s="44">
        <v>7.3606880367243148</v>
      </c>
      <c r="BJ51" s="38">
        <v>586.86243561317713</v>
      </c>
      <c r="BK51" s="38">
        <v>559.21435229348822</v>
      </c>
      <c r="BL51" s="38">
        <v>179.93933237397323</v>
      </c>
      <c r="BM51" s="40">
        <f t="shared" si="30"/>
        <v>4.6795325814184761</v>
      </c>
      <c r="BN51" s="7"/>
      <c r="BO51" s="39">
        <f t="shared" si="31"/>
        <v>154.07577316139611</v>
      </c>
      <c r="BP51" s="39">
        <f t="shared" si="22"/>
        <v>86.248839996462294</v>
      </c>
      <c r="BQ51" s="40">
        <f t="shared" si="23"/>
        <v>240.32461315785841</v>
      </c>
      <c r="BS51" s="41">
        <v>430.95727400000004</v>
      </c>
      <c r="BT51" s="41">
        <v>0</v>
      </c>
      <c r="BU51" s="41">
        <v>0</v>
      </c>
      <c r="BV51" s="41">
        <v>0</v>
      </c>
      <c r="BW51" s="41">
        <v>0</v>
      </c>
      <c r="BX51" s="41">
        <v>0</v>
      </c>
      <c r="BY51" s="42">
        <f t="shared" si="9"/>
        <v>430.95727400000004</v>
      </c>
      <c r="BZ51" s="41">
        <v>0</v>
      </c>
      <c r="CA51" s="41">
        <v>0</v>
      </c>
      <c r="CB51" s="41">
        <v>0</v>
      </c>
      <c r="CC51" s="41">
        <v>11.95908</v>
      </c>
      <c r="CD51" s="41">
        <v>84.787000000000006</v>
      </c>
      <c r="CE51" s="41"/>
      <c r="CF51" s="42">
        <f t="shared" si="19"/>
        <v>96.746080000000006</v>
      </c>
      <c r="CG51" s="7"/>
      <c r="CH51" s="41">
        <v>310</v>
      </c>
      <c r="CI51" s="41">
        <v>0</v>
      </c>
      <c r="CJ51" s="41">
        <v>0</v>
      </c>
      <c r="CK51" s="41">
        <v>0</v>
      </c>
      <c r="CL51" s="41">
        <v>0</v>
      </c>
      <c r="CM51" s="42">
        <f t="shared" si="20"/>
        <v>310</v>
      </c>
      <c r="CN51" s="41">
        <v>0</v>
      </c>
      <c r="CO51" s="41">
        <v>0</v>
      </c>
      <c r="CP51" s="41">
        <v>120</v>
      </c>
      <c r="CQ51" s="41">
        <v>168</v>
      </c>
      <c r="CR51" s="41">
        <v>0</v>
      </c>
      <c r="CS51" s="42">
        <f t="shared" si="10"/>
        <v>162.06657261978987</v>
      </c>
      <c r="CU51" s="64">
        <v>55.53280903016401</v>
      </c>
      <c r="CV51" s="64">
        <v>7.3434804146636088</v>
      </c>
      <c r="CW51" s="64">
        <v>3.4173295275373001</v>
      </c>
      <c r="CX51" s="65">
        <v>1.1663810276350743</v>
      </c>
      <c r="CY51" s="66">
        <v>67.459999999999994</v>
      </c>
      <c r="DA51" s="42">
        <v>7893.9693010752644</v>
      </c>
      <c r="DB51" s="40">
        <v>79.914091248956836</v>
      </c>
      <c r="DD51" s="42">
        <v>2753.4749731681745</v>
      </c>
      <c r="DE51" s="39">
        <f t="shared" si="34"/>
        <v>27.611592794428642</v>
      </c>
      <c r="DF51" s="55">
        <f t="shared" si="32"/>
        <v>0.40930318402651417</v>
      </c>
      <c r="DH51" s="39"/>
      <c r="DI51" s="42"/>
      <c r="DK51" s="42"/>
      <c r="DL51" s="42"/>
      <c r="DN51" s="41"/>
      <c r="DO51" s="41"/>
      <c r="DQ51" s="39"/>
      <c r="DR51" s="39"/>
      <c r="DT51" s="56"/>
      <c r="DU51" s="56"/>
      <c r="DV51" s="55"/>
      <c r="DX51" s="39"/>
      <c r="DY51" s="39"/>
      <c r="DZ51" s="39"/>
      <c r="EA51" s="39"/>
      <c r="EB51" s="39"/>
      <c r="EC51" s="39"/>
      <c r="ED51" s="39"/>
      <c r="EE51" s="42"/>
      <c r="EF51" s="39"/>
      <c r="EG51" s="39"/>
      <c r="EH51" s="39"/>
      <c r="EI51" s="42"/>
      <c r="EJ51" s="39"/>
      <c r="EK51" s="39"/>
      <c r="EL51" s="39"/>
      <c r="EM51" s="39"/>
      <c r="EN51" s="42"/>
      <c r="EO51" s="39"/>
      <c r="EP51" s="71">
        <f t="shared" si="33"/>
        <v>11308.277636999999</v>
      </c>
    </row>
    <row r="52" spans="1:146" x14ac:dyDescent="0.4">
      <c r="A52" s="26">
        <f t="shared" si="13"/>
        <v>2021</v>
      </c>
      <c r="B52" s="27">
        <v>44501</v>
      </c>
      <c r="C52" s="28">
        <v>30</v>
      </c>
      <c r="D52" s="29">
        <v>99.826400000001016</v>
      </c>
      <c r="E52" s="29">
        <v>100.925</v>
      </c>
      <c r="F52" s="29">
        <v>79.150000000000006</v>
      </c>
      <c r="G52" s="29">
        <v>81.05</v>
      </c>
      <c r="H52" s="7"/>
      <c r="I52" s="30">
        <v>21.595000000000002</v>
      </c>
      <c r="J52" s="29">
        <v>30</v>
      </c>
      <c r="K52" s="29">
        <v>15.05</v>
      </c>
      <c r="L52" s="30">
        <v>20.400000000000002</v>
      </c>
      <c r="M52" s="22"/>
      <c r="N52" s="31">
        <v>4450.3312769999966</v>
      </c>
      <c r="O52" s="31">
        <v>3045.5819229999997</v>
      </c>
      <c r="P52" s="32">
        <f t="shared" si="15"/>
        <v>7495.9131999999963</v>
      </c>
      <c r="Q52" s="31">
        <v>1111.4382899999996</v>
      </c>
      <c r="R52" s="31">
        <v>393.73312200000009</v>
      </c>
      <c r="S52" s="31">
        <v>1568.3491389999995</v>
      </c>
      <c r="T52" s="31"/>
      <c r="U52" s="32">
        <f t="shared" si="16"/>
        <v>3073.5205509999992</v>
      </c>
      <c r="V52" s="32">
        <f t="shared" si="24"/>
        <v>10569.433750999995</v>
      </c>
      <c r="W52" s="33">
        <v>462.01694999999995</v>
      </c>
      <c r="X52" s="32">
        <f t="shared" si="25"/>
        <v>11031.450700999994</v>
      </c>
      <c r="Z52" s="32">
        <v>21920</v>
      </c>
      <c r="AB52" s="34">
        <v>6669.6675119999973</v>
      </c>
      <c r="AC52" s="34">
        <v>1064.7060120000001</v>
      </c>
      <c r="AD52" s="34">
        <v>3673.1518069999997</v>
      </c>
      <c r="AE52" s="34">
        <v>15.757948000000001</v>
      </c>
      <c r="AF52" s="32">
        <f t="shared" si="2"/>
        <v>11423.283278999997</v>
      </c>
      <c r="AH52" s="31">
        <v>2070.5576719999999</v>
      </c>
      <c r="AI52" s="31">
        <v>111.90781999999997</v>
      </c>
      <c r="AJ52" s="31">
        <v>1106.4244990000002</v>
      </c>
      <c r="AK52" s="31">
        <v>279.84022099999999</v>
      </c>
      <c r="AL52" s="31">
        <v>69.895395999999991</v>
      </c>
      <c r="AM52" s="31">
        <v>34.526198999999998</v>
      </c>
      <c r="AN52" s="32">
        <f t="shared" si="17"/>
        <v>1602.5941349999998</v>
      </c>
      <c r="AO52" s="35">
        <f t="shared" si="26"/>
        <v>0.15162535408752387</v>
      </c>
      <c r="AQ52" s="30">
        <v>43.035830366666659</v>
      </c>
      <c r="AR52" s="36">
        <f t="shared" si="18"/>
        <v>38.274923010723832</v>
      </c>
      <c r="AS52" s="36">
        <f t="shared" si="18"/>
        <v>4.7609073559428259</v>
      </c>
      <c r="AT52" s="30">
        <v>28.161613000000003</v>
      </c>
      <c r="AU52" s="30">
        <v>106.68994700000002</v>
      </c>
      <c r="AV52" s="30">
        <v>86.084400000000016</v>
      </c>
      <c r="AW52" s="30">
        <f t="shared" si="27"/>
        <v>49.608208591507932</v>
      </c>
      <c r="AX52" s="7"/>
      <c r="AY52" s="36">
        <v>37.443132677390501</v>
      </c>
      <c r="AZ52" s="36">
        <v>4.7609073559428259</v>
      </c>
      <c r="BA52" s="36">
        <v>0.8317903333333333</v>
      </c>
      <c r="BB52" s="36">
        <v>0</v>
      </c>
      <c r="BC52" s="7"/>
      <c r="BD52" s="32">
        <f t="shared" si="28"/>
        <v>1874.3465911258463</v>
      </c>
      <c r="BE52" s="32">
        <f t="shared" si="29"/>
        <v>1094.367377550876</v>
      </c>
      <c r="BF52" s="7"/>
      <c r="BG52" s="30">
        <v>3.5157622625867564</v>
      </c>
      <c r="BH52" s="36">
        <v>3.0448223607157225</v>
      </c>
      <c r="BI52" s="36">
        <v>7.3018448596975025</v>
      </c>
      <c r="BJ52" s="28">
        <v>610.22981386584968</v>
      </c>
      <c r="BK52" s="28">
        <v>583.64933838335116</v>
      </c>
      <c r="BL52" s="28">
        <v>201.29999999999995</v>
      </c>
      <c r="BM52" s="30">
        <f t="shared" si="30"/>
        <v>4.8058331758646586</v>
      </c>
      <c r="BN52" s="7"/>
      <c r="BO52" s="29">
        <f t="shared" si="31"/>
        <v>168.11527593579092</v>
      </c>
      <c r="BP52" s="29">
        <f t="shared" si="22"/>
        <v>96.783362557856904</v>
      </c>
      <c r="BQ52" s="30">
        <f t="shared" si="23"/>
        <v>264.89863849364781</v>
      </c>
      <c r="BS52" s="31">
        <v>462.01694999999995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2">
        <f t="shared" si="9"/>
        <v>462.01694999999995</v>
      </c>
      <c r="BZ52" s="31">
        <v>0</v>
      </c>
      <c r="CA52" s="31">
        <v>0</v>
      </c>
      <c r="CB52" s="31">
        <v>0</v>
      </c>
      <c r="CC52" s="31">
        <v>11.109948000000001</v>
      </c>
      <c r="CD52" s="31">
        <v>4.6479999999999997</v>
      </c>
      <c r="CE52" s="31"/>
      <c r="CF52" s="32">
        <f t="shared" si="19"/>
        <v>15.757948000000001</v>
      </c>
      <c r="CG52" s="7"/>
      <c r="CH52" s="31">
        <v>288.8</v>
      </c>
      <c r="CI52" s="31">
        <v>0</v>
      </c>
      <c r="CJ52" s="31">
        <v>0</v>
      </c>
      <c r="CK52" s="31">
        <v>0</v>
      </c>
      <c r="CL52" s="31">
        <v>0</v>
      </c>
      <c r="CM52" s="32">
        <f t="shared" si="20"/>
        <v>288.8</v>
      </c>
      <c r="CN52" s="31">
        <v>0</v>
      </c>
      <c r="CO52" s="31">
        <v>0</v>
      </c>
      <c r="CP52" s="31">
        <v>120</v>
      </c>
      <c r="CQ52" s="31">
        <v>135</v>
      </c>
      <c r="CR52" s="31">
        <v>0</v>
      </c>
      <c r="CS52" s="32">
        <f t="shared" si="10"/>
        <v>124.42443394279509</v>
      </c>
      <c r="CU52" s="61">
        <v>54.477418004347257</v>
      </c>
      <c r="CV52" s="61">
        <v>7.3810516471913727</v>
      </c>
      <c r="CW52" s="61">
        <v>2.4804978476923361</v>
      </c>
      <c r="CX52" s="62">
        <v>1.1410325007690527</v>
      </c>
      <c r="CY52" s="63">
        <v>65.480000000000018</v>
      </c>
      <c r="DA52" s="32">
        <v>9082.4536944444535</v>
      </c>
      <c r="DB52" s="30">
        <v>90.920796280981961</v>
      </c>
      <c r="DD52" s="50">
        <v>2769.5503928607436</v>
      </c>
      <c r="DE52" s="29">
        <f t="shared" si="34"/>
        <v>27.441668495028424</v>
      </c>
      <c r="DF52" s="51">
        <f t="shared" si="32"/>
        <v>0.41908473572126476</v>
      </c>
      <c r="DH52" s="33"/>
      <c r="DI52" s="32"/>
      <c r="DK52" s="50"/>
      <c r="DL52" s="50"/>
      <c r="DN52" s="31"/>
      <c r="DO52" s="31"/>
      <c r="DQ52" s="29"/>
      <c r="DR52" s="29"/>
      <c r="DT52" s="54"/>
      <c r="DU52" s="54"/>
      <c r="DV52" s="51"/>
      <c r="DX52" s="33"/>
      <c r="DY52" s="33"/>
      <c r="DZ52" s="33"/>
      <c r="EA52" s="33"/>
      <c r="EB52" s="33"/>
      <c r="EC52" s="33"/>
      <c r="ED52" s="33"/>
      <c r="EE52" s="32"/>
      <c r="EF52" s="33"/>
      <c r="EG52" s="33"/>
      <c r="EH52" s="33"/>
      <c r="EI52" s="32"/>
      <c r="EJ52" s="33"/>
      <c r="EK52" s="33"/>
      <c r="EL52" s="33"/>
      <c r="EM52" s="33"/>
      <c r="EN52" s="32"/>
      <c r="EO52" s="32"/>
      <c r="EP52" s="70">
        <f t="shared" si="33"/>
        <v>11423.283278999997</v>
      </c>
    </row>
    <row r="53" spans="1:146" x14ac:dyDescent="0.4">
      <c r="A53" s="22">
        <f t="shared" si="13"/>
        <v>2021</v>
      </c>
      <c r="B53" s="37">
        <v>44531</v>
      </c>
      <c r="C53" s="38">
        <v>31</v>
      </c>
      <c r="D53" s="39">
        <v>101.04119354838708</v>
      </c>
      <c r="E53" s="39">
        <v>102.75</v>
      </c>
      <c r="F53" s="39">
        <v>71.709999999999994</v>
      </c>
      <c r="G53" s="39">
        <v>74.17</v>
      </c>
      <c r="H53" s="7"/>
      <c r="I53" s="40">
        <v>25.02741935483871</v>
      </c>
      <c r="J53" s="39">
        <v>31.7</v>
      </c>
      <c r="K53" s="39">
        <v>20</v>
      </c>
      <c r="L53" s="40">
        <v>23.1</v>
      </c>
      <c r="M53" s="22"/>
      <c r="N53" s="41">
        <v>5875.2310619999998</v>
      </c>
      <c r="O53" s="41">
        <v>3504.9467720000002</v>
      </c>
      <c r="P53" s="42">
        <f t="shared" si="15"/>
        <v>9380.1778340000001</v>
      </c>
      <c r="Q53" s="41">
        <v>1177.7446540000001</v>
      </c>
      <c r="R53" s="41">
        <v>400.64441700000003</v>
      </c>
      <c r="S53" s="41">
        <v>1499.2785729999991</v>
      </c>
      <c r="T53" s="41"/>
      <c r="U53" s="42">
        <f t="shared" si="16"/>
        <v>3077.6676439999992</v>
      </c>
      <c r="V53" s="42">
        <f t="shared" si="24"/>
        <v>12457.845477999999</v>
      </c>
      <c r="W53" s="39">
        <v>26.284119999999998</v>
      </c>
      <c r="X53" s="42">
        <f t="shared" si="25"/>
        <v>12484.129598</v>
      </c>
      <c r="Z53" s="42">
        <v>27088</v>
      </c>
      <c r="AB53" s="41">
        <v>8375.9641429999956</v>
      </c>
      <c r="AC53" s="41">
        <v>1025.29847</v>
      </c>
      <c r="AD53" s="41">
        <v>3513.3957599999999</v>
      </c>
      <c r="AE53" s="41">
        <v>32.343026999999999</v>
      </c>
      <c r="AF53" s="42">
        <f t="shared" si="2"/>
        <v>12947.001399999996</v>
      </c>
      <c r="AH53" s="41">
        <v>1960.7170560000002</v>
      </c>
      <c r="AI53" s="41">
        <v>100.70077400000001</v>
      </c>
      <c r="AJ53" s="41">
        <v>1107.4260039999999</v>
      </c>
      <c r="AK53" s="41">
        <v>249.87763900000002</v>
      </c>
      <c r="AL53" s="41">
        <v>58.841934999999992</v>
      </c>
      <c r="AM53" s="41">
        <v>35.832352000000014</v>
      </c>
      <c r="AN53" s="42">
        <f t="shared" si="17"/>
        <v>1552.6787039999999</v>
      </c>
      <c r="AO53" s="43">
        <f t="shared" si="26"/>
        <v>0.12463460931041097</v>
      </c>
      <c r="AQ53" s="40">
        <v>51.212334806451636</v>
      </c>
      <c r="AR53" s="44">
        <f t="shared" si="18"/>
        <v>43.532390189484985</v>
      </c>
      <c r="AS53" s="44">
        <f t="shared" si="18"/>
        <v>7.6799446169666696</v>
      </c>
      <c r="AT53" s="40">
        <v>74.576913999999974</v>
      </c>
      <c r="AU53" s="40">
        <v>180.051695</v>
      </c>
      <c r="AV53" s="40">
        <v>77.703626000000014</v>
      </c>
      <c r="AW53" s="40">
        <f t="shared" si="27"/>
        <v>61.562937266897102</v>
      </c>
      <c r="AX53" s="7"/>
      <c r="AY53" s="44">
        <v>42.765586318517244</v>
      </c>
      <c r="AZ53" s="44">
        <v>7.6799446169666696</v>
      </c>
      <c r="BA53" s="44">
        <v>0.76680387096774194</v>
      </c>
      <c r="BB53" s="44">
        <v>0</v>
      </c>
      <c r="BC53" s="7"/>
      <c r="BD53" s="38">
        <f t="shared" si="28"/>
        <v>1913.9275897805157</v>
      </c>
      <c r="BE53" s="38">
        <f t="shared" si="29"/>
        <v>1238.2009060646283</v>
      </c>
      <c r="BF53" s="7"/>
      <c r="BG53" s="40">
        <v>3.7184403647748954</v>
      </c>
      <c r="BH53" s="44">
        <v>3.0509819272316814</v>
      </c>
      <c r="BI53" s="44">
        <v>7.5018089419654066</v>
      </c>
      <c r="BJ53" s="38">
        <v>585.13629917251831</v>
      </c>
      <c r="BK53" s="38">
        <v>595.25229418257766</v>
      </c>
      <c r="BL53" s="38">
        <v>200.00000000000003</v>
      </c>
      <c r="BM53" s="40">
        <f t="shared" si="30"/>
        <v>5.4467751424195185</v>
      </c>
      <c r="BN53" s="7"/>
      <c r="BO53" s="39">
        <f t="shared" si="31"/>
        <v>218.64186668440587</v>
      </c>
      <c r="BP53" s="39">
        <f t="shared" si="22"/>
        <v>166.3545691818789</v>
      </c>
      <c r="BQ53" s="40">
        <f t="shared" si="23"/>
        <v>384.99643586628474</v>
      </c>
      <c r="BS53" s="41">
        <v>26.284119999999998</v>
      </c>
      <c r="BT53" s="41">
        <v>0</v>
      </c>
      <c r="BU53" s="41">
        <v>0</v>
      </c>
      <c r="BV53" s="41">
        <v>0</v>
      </c>
      <c r="BW53" s="41">
        <v>0</v>
      </c>
      <c r="BX53" s="41">
        <v>0</v>
      </c>
      <c r="BY53" s="42">
        <f t="shared" si="9"/>
        <v>26.284119999999998</v>
      </c>
      <c r="BZ53" s="41">
        <v>0</v>
      </c>
      <c r="CA53" s="41">
        <v>4.4881830000000003</v>
      </c>
      <c r="CB53" s="41">
        <v>0</v>
      </c>
      <c r="CC53" s="41">
        <v>12.269843999999999</v>
      </c>
      <c r="CD53" s="41">
        <v>15.585000000000001</v>
      </c>
      <c r="CE53" s="41"/>
      <c r="CF53" s="42">
        <f t="shared" si="19"/>
        <v>32.343026999999999</v>
      </c>
      <c r="CG53" s="7"/>
      <c r="CH53" s="41">
        <v>204</v>
      </c>
      <c r="CI53" s="41">
        <v>0</v>
      </c>
      <c r="CJ53" s="41">
        <v>0</v>
      </c>
      <c r="CK53" s="41">
        <v>0</v>
      </c>
      <c r="CL53" s="41">
        <v>0</v>
      </c>
      <c r="CM53" s="42">
        <f t="shared" si="20"/>
        <v>204</v>
      </c>
      <c r="CN53" s="41">
        <v>0</v>
      </c>
      <c r="CO53" s="41">
        <v>0</v>
      </c>
      <c r="CP53" s="41">
        <v>120</v>
      </c>
      <c r="CQ53" s="41">
        <v>190</v>
      </c>
      <c r="CR53" s="41">
        <v>0</v>
      </c>
      <c r="CS53" s="42">
        <f t="shared" si="10"/>
        <v>137.07842744589121</v>
      </c>
      <c r="CU53" s="64">
        <v>59.355426184679246</v>
      </c>
      <c r="CV53" s="64">
        <v>5.7705097134047341</v>
      </c>
      <c r="CW53" s="64">
        <v>2.7881829911803568</v>
      </c>
      <c r="CX53" s="65">
        <v>1.0658811107356658</v>
      </c>
      <c r="CY53" s="66">
        <v>68.98</v>
      </c>
      <c r="DA53" s="42">
        <v>12772.486034946232</v>
      </c>
      <c r="DB53" s="40">
        <v>126.37685553511241</v>
      </c>
      <c r="DD53" s="42">
        <v>2671.4688002481203</v>
      </c>
      <c r="DE53" s="39">
        <f t="shared" si="34"/>
        <v>25.999696352779758</v>
      </c>
      <c r="DF53" s="55">
        <f t="shared" si="32"/>
        <v>0.37691644466192747</v>
      </c>
      <c r="DH53" s="39"/>
      <c r="DI53" s="42"/>
      <c r="DK53" s="42"/>
      <c r="DL53" s="42"/>
      <c r="DN53" s="41"/>
      <c r="DO53" s="41"/>
      <c r="DQ53" s="39"/>
      <c r="DR53" s="39"/>
      <c r="DT53" s="56"/>
      <c r="DU53" s="56"/>
      <c r="DV53" s="55"/>
      <c r="DX53" s="39"/>
      <c r="DY53" s="39"/>
      <c r="DZ53" s="39"/>
      <c r="EA53" s="39"/>
      <c r="EB53" s="39"/>
      <c r="EC53" s="39"/>
      <c r="ED53" s="39"/>
      <c r="EE53" s="42"/>
      <c r="EF53" s="39"/>
      <c r="EG53" s="39"/>
      <c r="EH53" s="39"/>
      <c r="EI53" s="42"/>
      <c r="EJ53" s="39"/>
      <c r="EK53" s="39"/>
      <c r="EL53" s="39"/>
      <c r="EM53" s="39"/>
      <c r="EN53" s="42"/>
      <c r="EO53" s="39"/>
      <c r="EP53" s="71">
        <f t="shared" si="33"/>
        <v>12947.001399999996</v>
      </c>
    </row>
    <row r="54" spans="1:146" x14ac:dyDescent="0.4">
      <c r="A54" s="26">
        <v>2022</v>
      </c>
      <c r="B54" s="27">
        <v>44562</v>
      </c>
      <c r="C54" s="28">
        <f>EDATE(B54,1)-B54</f>
        <v>31</v>
      </c>
      <c r="D54" s="29">
        <v>102.97509677419444</v>
      </c>
      <c r="E54" s="29">
        <v>105.015</v>
      </c>
      <c r="F54" s="29">
        <v>83.22</v>
      </c>
      <c r="G54" s="29">
        <v>86.51</v>
      </c>
      <c r="H54" s="7"/>
      <c r="I54" s="30">
        <v>26.211290322580641</v>
      </c>
      <c r="J54" s="29">
        <v>34.4</v>
      </c>
      <c r="K54" s="29">
        <v>19.45</v>
      </c>
      <c r="L54" s="30">
        <v>24.6</v>
      </c>
      <c r="M54" s="22"/>
      <c r="N54" s="31">
        <v>6464.4840640000002</v>
      </c>
      <c r="O54" s="31">
        <v>3622.9458519999994</v>
      </c>
      <c r="P54" s="32">
        <f t="shared" si="15"/>
        <v>10087.429915999999</v>
      </c>
      <c r="Q54" s="31">
        <v>1178.0640190000004</v>
      </c>
      <c r="R54" s="31">
        <v>402.07963699999993</v>
      </c>
      <c r="S54" s="31">
        <v>1400.0313600000006</v>
      </c>
      <c r="T54" s="31"/>
      <c r="U54" s="32">
        <f t="shared" si="16"/>
        <v>2980.1750160000011</v>
      </c>
      <c r="V54" s="32">
        <f t="shared" si="24"/>
        <v>13067.604932</v>
      </c>
      <c r="W54" s="33">
        <v>27.950493999999999</v>
      </c>
      <c r="X54" s="32">
        <f t="shared" si="25"/>
        <v>13095.555426000001</v>
      </c>
      <c r="Z54" s="32">
        <v>28231</v>
      </c>
      <c r="AB54" s="34">
        <v>8937.7254499999999</v>
      </c>
      <c r="AC54" s="34">
        <v>976.68162600000005</v>
      </c>
      <c r="AD54" s="34">
        <v>3637.6700080000001</v>
      </c>
      <c r="AE54" s="34">
        <v>117.11247299999999</v>
      </c>
      <c r="AF54" s="32">
        <f>SUM(AB54:AE54)</f>
        <v>13669.189557</v>
      </c>
      <c r="AH54" s="31">
        <v>1980.0921799999996</v>
      </c>
      <c r="AI54" s="31">
        <v>114.57070399999999</v>
      </c>
      <c r="AJ54" s="31">
        <v>1191.7369789999996</v>
      </c>
      <c r="AK54" s="31">
        <v>256.557053</v>
      </c>
      <c r="AL54" s="31">
        <v>59.352205999999995</v>
      </c>
      <c r="AM54" s="31">
        <v>35.360886000000001</v>
      </c>
      <c r="AN54" s="32">
        <f>SUM(AI54:AM54)</f>
        <v>1657.5778279999995</v>
      </c>
      <c r="AO54" s="35">
        <f t="shared" si="26"/>
        <v>0.12684633768969528</v>
      </c>
      <c r="AQ54" s="30">
        <v>53.482660258064513</v>
      </c>
      <c r="AR54" s="36">
        <f t="shared" si="18"/>
        <v>46.788362097612357</v>
      </c>
      <c r="AS54" s="36">
        <f t="shared" si="18"/>
        <v>6.6808077911046597</v>
      </c>
      <c r="AT54" s="30">
        <v>94.022903000000014</v>
      </c>
      <c r="AU54" s="30">
        <v>251.23949400000015</v>
      </c>
      <c r="AV54" s="30">
        <v>85.993650000000002</v>
      </c>
      <c r="AW54" s="30">
        <f t="shared" si="27"/>
        <v>67.082602723195095</v>
      </c>
      <c r="AX54" s="7"/>
      <c r="AY54" s="36">
        <v>46.012017129870422</v>
      </c>
      <c r="AZ54" s="36">
        <v>6.6808077911046597</v>
      </c>
      <c r="BA54" s="36">
        <v>0.7763449677419354</v>
      </c>
      <c r="BB54" s="36">
        <v>0</v>
      </c>
      <c r="BC54" s="7"/>
      <c r="BD54" s="32">
        <f t="shared" si="28"/>
        <v>1954.4468944411356</v>
      </c>
      <c r="BE54" s="32">
        <f t="shared" si="29"/>
        <v>1277.9330973703902</v>
      </c>
      <c r="BF54" s="7"/>
      <c r="BG54" s="30">
        <v>3.6972126209215439</v>
      </c>
      <c r="BH54" s="36">
        <v>3.0642508944608262</v>
      </c>
      <c r="BI54" s="36">
        <v>8.1375617737417869</v>
      </c>
      <c r="BJ54" s="28">
        <v>646.10515834864964</v>
      </c>
      <c r="BK54" s="28">
        <v>618.34993259755572</v>
      </c>
      <c r="BL54" s="28">
        <v>203.50797423389173</v>
      </c>
      <c r="BM54" s="30">
        <f t="shared" si="30"/>
        <v>5.9806481549395629</v>
      </c>
      <c r="BN54" s="7"/>
      <c r="BO54" s="29">
        <f t="shared" si="31"/>
        <v>227.03110228532708</v>
      </c>
      <c r="BP54" s="29">
        <f t="shared" si="22"/>
        <v>233.60300032043713</v>
      </c>
      <c r="BQ54" s="30">
        <f t="shared" si="23"/>
        <v>460.63410260576421</v>
      </c>
      <c r="BS54" s="31">
        <v>0</v>
      </c>
      <c r="BT54" s="31">
        <v>27.950500000000002</v>
      </c>
      <c r="BU54" s="31">
        <v>0</v>
      </c>
      <c r="BV54" s="31">
        <v>0</v>
      </c>
      <c r="BW54" s="31">
        <v>0</v>
      </c>
      <c r="BX54" s="31">
        <v>0</v>
      </c>
      <c r="BY54" s="32">
        <f t="shared" si="9"/>
        <v>27.950500000000002</v>
      </c>
      <c r="BZ54" s="31">
        <v>0</v>
      </c>
      <c r="CA54" s="31">
        <v>21.566800000000001</v>
      </c>
      <c r="CB54" s="31">
        <v>0</v>
      </c>
      <c r="CC54" s="31">
        <v>12.358668</v>
      </c>
      <c r="CD54" s="31">
        <v>83.186999999999998</v>
      </c>
      <c r="CE54" s="31">
        <v>0</v>
      </c>
      <c r="CF54" s="32">
        <f t="shared" si="19"/>
        <v>117.11246800000001</v>
      </c>
      <c r="CG54" s="7"/>
      <c r="CH54" s="31"/>
      <c r="CI54" s="31"/>
      <c r="CJ54" s="31"/>
      <c r="CK54" s="31"/>
      <c r="CL54" s="31"/>
      <c r="CM54" s="32">
        <f t="shared" si="20"/>
        <v>0</v>
      </c>
      <c r="CN54" s="31"/>
      <c r="CO54" s="31"/>
      <c r="CP54" s="31">
        <v>120</v>
      </c>
      <c r="CQ54" s="31">
        <v>211.3</v>
      </c>
      <c r="CR54" s="31"/>
      <c r="CS54" s="32">
        <f t="shared" si="10"/>
        <v>162.75340777550687</v>
      </c>
      <c r="CU54" s="61">
        <v>65.030594909220426</v>
      </c>
      <c r="CV54" s="61">
        <v>5.1039520459547107</v>
      </c>
      <c r="CW54" s="61">
        <v>3.3425183194719343</v>
      </c>
      <c r="CX54" s="62">
        <v>1.0329347253529082</v>
      </c>
      <c r="CY54" s="63">
        <v>74.509999999999977</v>
      </c>
      <c r="DA54" s="32">
        <v>16422.596639784922</v>
      </c>
      <c r="DB54" s="30">
        <v>159.42227035440291</v>
      </c>
      <c r="DD54" s="50">
        <v>2632.2186246687716</v>
      </c>
      <c r="DE54" s="29">
        <f t="shared" si="34"/>
        <v>25.065168068073813</v>
      </c>
      <c r="DF54" s="51">
        <f t="shared" si="32"/>
        <v>0.33640005459768918</v>
      </c>
      <c r="DH54" s="33"/>
      <c r="DI54" s="32"/>
      <c r="DK54" s="50"/>
      <c r="DL54" s="50"/>
      <c r="DN54" s="31"/>
      <c r="DO54" s="31"/>
      <c r="DQ54" s="29"/>
      <c r="DR54" s="29"/>
      <c r="DT54" s="54"/>
      <c r="DU54" s="54"/>
      <c r="DV54" s="51"/>
      <c r="DX54" s="33"/>
      <c r="DY54" s="33"/>
      <c r="DZ54" s="33"/>
      <c r="EA54" s="33"/>
      <c r="EB54" s="33"/>
      <c r="EC54" s="33"/>
      <c r="ED54" s="33"/>
      <c r="EE54" s="32"/>
      <c r="EF54" s="33"/>
      <c r="EG54" s="33"/>
      <c r="EH54" s="33"/>
      <c r="EI54" s="32"/>
      <c r="EJ54" s="33"/>
      <c r="EK54" s="33"/>
      <c r="EL54" s="33"/>
      <c r="EM54" s="33"/>
      <c r="EN54" s="32"/>
      <c r="EO54" s="32"/>
      <c r="EP54" s="70">
        <f t="shared" si="33"/>
        <v>13669.189557</v>
      </c>
    </row>
    <row r="55" spans="1:146" x14ac:dyDescent="0.4">
      <c r="A55" s="22">
        <v>2022</v>
      </c>
      <c r="B55" s="37">
        <v>44593</v>
      </c>
      <c r="C55" s="38">
        <f t="shared" ref="C55:C100" si="35">EDATE(B55,1)-B55</f>
        <v>28</v>
      </c>
      <c r="D55" s="39">
        <v>105.20360714285677</v>
      </c>
      <c r="E55" s="39">
        <v>107.4417</v>
      </c>
      <c r="F55" s="39">
        <v>91.64</v>
      </c>
      <c r="G55" s="39">
        <v>97.13</v>
      </c>
      <c r="H55" s="7"/>
      <c r="I55" s="40">
        <v>23.157142857142862</v>
      </c>
      <c r="J55" s="39">
        <v>29.75</v>
      </c>
      <c r="K55" s="39">
        <v>18.25</v>
      </c>
      <c r="L55" s="40">
        <v>23.6</v>
      </c>
      <c r="M55" s="22"/>
      <c r="N55" s="41">
        <v>4612.5674139999983</v>
      </c>
      <c r="O55" s="41">
        <v>3076.9326780000001</v>
      </c>
      <c r="P55" s="42">
        <f t="shared" si="15"/>
        <v>7689.5000919999984</v>
      </c>
      <c r="Q55" s="41">
        <v>1108.9729270000003</v>
      </c>
      <c r="R55" s="41">
        <v>402.81380300000001</v>
      </c>
      <c r="S55" s="41">
        <v>1366.4700769999997</v>
      </c>
      <c r="T55" s="41"/>
      <c r="U55" s="42">
        <f t="shared" si="16"/>
        <v>2878.2568069999998</v>
      </c>
      <c r="V55" s="42">
        <f t="shared" si="24"/>
        <v>10567.756898999998</v>
      </c>
      <c r="W55" s="39">
        <v>1.9910000000000001</v>
      </c>
      <c r="X55" s="42">
        <f t="shared" si="25"/>
        <v>10569.747898999998</v>
      </c>
      <c r="Z55" s="42">
        <v>25050</v>
      </c>
      <c r="AB55" s="41">
        <v>7170.630382999997</v>
      </c>
      <c r="AC55" s="41">
        <v>893.00119900000004</v>
      </c>
      <c r="AD55" s="41">
        <v>2848.2993950000018</v>
      </c>
      <c r="AE55" s="41">
        <v>109.48967200000001</v>
      </c>
      <c r="AF55" s="42">
        <f t="shared" ref="AF55:AF100" si="36">SUM(AB55:AE55)</f>
        <v>11021.420649</v>
      </c>
      <c r="AH55" s="41">
        <v>1369.3074410000002</v>
      </c>
      <c r="AI55" s="41">
        <v>91.96963599999998</v>
      </c>
      <c r="AJ55" s="41">
        <v>1053.9783770000004</v>
      </c>
      <c r="AK55" s="41">
        <v>245.57515899999996</v>
      </c>
      <c r="AL55" s="41">
        <v>54.050763000000003</v>
      </c>
      <c r="AM55" s="41">
        <v>33.418019000000001</v>
      </c>
      <c r="AN55" s="42">
        <f t="shared" ref="AN55:AN99" si="37">SUM(AI55:AM55)</f>
        <v>1478.9919540000003</v>
      </c>
      <c r="AO55" s="43">
        <f t="shared" si="26"/>
        <v>0.13995325291216282</v>
      </c>
      <c r="AQ55" s="40">
        <v>43.838250000000002</v>
      </c>
      <c r="AR55" s="44">
        <f t="shared" si="18"/>
        <v>41.253664915826064</v>
      </c>
      <c r="AS55" s="44">
        <f t="shared" si="18"/>
        <v>2.5792911268183856</v>
      </c>
      <c r="AT55" s="40">
        <v>73.327783000000011</v>
      </c>
      <c r="AU55" s="40">
        <v>242.761292</v>
      </c>
      <c r="AV55" s="40">
        <v>72.956535000000002</v>
      </c>
      <c r="AW55" s="40">
        <f t="shared" si="27"/>
        <v>57.424429624829934</v>
      </c>
      <c r="AX55" s="7"/>
      <c r="AY55" s="44">
        <v>40.459006380111781</v>
      </c>
      <c r="AZ55" s="44">
        <v>2.5792911268183856</v>
      </c>
      <c r="BA55" s="44">
        <v>0.79465853571428424</v>
      </c>
      <c r="BB55" s="44">
        <v>0</v>
      </c>
      <c r="BC55" s="7"/>
      <c r="BD55" s="38">
        <f t="shared" si="28"/>
        <v>1883.5479067196545</v>
      </c>
      <c r="BE55" s="38">
        <f t="shared" si="29"/>
        <v>1225.4523511889959</v>
      </c>
      <c r="BF55" s="7"/>
      <c r="BG55" s="40">
        <v>3.3570731151335913</v>
      </c>
      <c r="BH55" s="44">
        <v>3.0490350023349317</v>
      </c>
      <c r="BI55" s="44">
        <v>8.2907826744369846</v>
      </c>
      <c r="BJ55" s="38">
        <v>734.46443965291428</v>
      </c>
      <c r="BK55" s="38">
        <v>694.083787743107</v>
      </c>
      <c r="BL55" s="38">
        <v>208.165513502625</v>
      </c>
      <c r="BM55" s="40">
        <f t="shared" si="30"/>
        <v>6.5516538750066173</v>
      </c>
      <c r="BN55" s="7"/>
      <c r="BO55" s="39">
        <f t="shared" si="31"/>
        <v>152.61888495207944</v>
      </c>
      <c r="BP55" s="39">
        <f t="shared" si="22"/>
        <v>237.54036069250316</v>
      </c>
      <c r="BQ55" s="40">
        <f t="shared" si="23"/>
        <v>390.1592456445826</v>
      </c>
      <c r="BS55" s="41">
        <v>0</v>
      </c>
      <c r="BT55" s="41">
        <v>0</v>
      </c>
      <c r="BU55" s="41">
        <v>0</v>
      </c>
      <c r="BV55" s="41">
        <v>0</v>
      </c>
      <c r="BW55" s="41">
        <v>1.9910000000000001</v>
      </c>
      <c r="BX55" s="41">
        <v>0</v>
      </c>
      <c r="BY55" s="42">
        <f t="shared" si="9"/>
        <v>1.9910000000000001</v>
      </c>
      <c r="BZ55" s="41">
        <v>0</v>
      </c>
      <c r="CA55" s="41">
        <v>0</v>
      </c>
      <c r="CB55" s="41">
        <v>0</v>
      </c>
      <c r="CC55" s="41">
        <v>11.524632</v>
      </c>
      <c r="CD55" s="41">
        <v>97.965039999999988</v>
      </c>
      <c r="CE55" s="41">
        <v>0</v>
      </c>
      <c r="CF55" s="42">
        <f t="shared" si="19"/>
        <v>109.48967199999998</v>
      </c>
      <c r="CG55" s="7"/>
      <c r="CH55" s="41"/>
      <c r="CI55" s="41"/>
      <c r="CJ55" s="41"/>
      <c r="CK55" s="41">
        <v>183</v>
      </c>
      <c r="CL55" s="41"/>
      <c r="CM55" s="42">
        <f t="shared" si="20"/>
        <v>183</v>
      </c>
      <c r="CN55" s="41"/>
      <c r="CO55" s="41"/>
      <c r="CP55" s="41">
        <v>120</v>
      </c>
      <c r="CQ55" s="41">
        <v>191.58252933903765</v>
      </c>
      <c r="CR55" s="41"/>
      <c r="CS55" s="42">
        <f t="shared" si="10"/>
        <v>184.04791631853638</v>
      </c>
      <c r="CU55" s="64">
        <v>71.892318930350612</v>
      </c>
      <c r="CV55" s="64">
        <v>6.4897470917666231</v>
      </c>
      <c r="CW55" s="64">
        <v>3.4629539384126509</v>
      </c>
      <c r="CX55" s="65">
        <v>1.1649800394700984</v>
      </c>
      <c r="CY55" s="66">
        <v>83.009999999999977</v>
      </c>
      <c r="DA55" s="42">
        <v>15821.837872023802</v>
      </c>
      <c r="DB55" s="40">
        <v>150.33446634419246</v>
      </c>
      <c r="DD55" s="42">
        <v>2926.7761282237866</v>
      </c>
      <c r="DE55" s="39">
        <f t="shared" si="34"/>
        <v>27.240597721590284</v>
      </c>
      <c r="DF55" s="55">
        <f t="shared" si="32"/>
        <v>0.32816043514745563</v>
      </c>
      <c r="DH55" s="39"/>
      <c r="DI55" s="42"/>
      <c r="DK55" s="42"/>
      <c r="DL55" s="42"/>
      <c r="DN55" s="41"/>
      <c r="DO55" s="41"/>
      <c r="DQ55" s="39"/>
      <c r="DR55" s="39"/>
      <c r="DT55" s="56"/>
      <c r="DU55" s="56"/>
      <c r="DV55" s="55"/>
      <c r="DX55" s="39"/>
      <c r="DY55" s="39"/>
      <c r="DZ55" s="39"/>
      <c r="EA55" s="39"/>
      <c r="EB55" s="39"/>
      <c r="EC55" s="39"/>
      <c r="ED55" s="39"/>
      <c r="EE55" s="42"/>
      <c r="EF55" s="39"/>
      <c r="EG55" s="39"/>
      <c r="EH55" s="39"/>
      <c r="EI55" s="42"/>
      <c r="EJ55" s="39"/>
      <c r="EK55" s="39"/>
      <c r="EL55" s="39"/>
      <c r="EM55" s="39"/>
      <c r="EN55" s="42"/>
      <c r="EO55" s="39"/>
      <c r="EP55" s="72">
        <f t="shared" si="33"/>
        <v>11021.420649</v>
      </c>
    </row>
    <row r="56" spans="1:146" x14ac:dyDescent="0.4">
      <c r="A56" s="26">
        <v>2022</v>
      </c>
      <c r="B56" s="27">
        <v>44621</v>
      </c>
      <c r="C56" s="28">
        <f t="shared" si="35"/>
        <v>31</v>
      </c>
      <c r="D56" s="29">
        <v>107.86616129032257</v>
      </c>
      <c r="E56" s="29">
        <v>110.9783</v>
      </c>
      <c r="F56" s="29">
        <v>108.5</v>
      </c>
      <c r="G56" s="29">
        <v>117.25</v>
      </c>
      <c r="H56" s="7"/>
      <c r="I56" s="30">
        <v>20.785483870967742</v>
      </c>
      <c r="J56" s="29">
        <v>26.5</v>
      </c>
      <c r="K56" s="29">
        <v>13.85</v>
      </c>
      <c r="L56" s="30">
        <v>21.6</v>
      </c>
      <c r="M56" s="22"/>
      <c r="N56" s="31">
        <v>4481.118657</v>
      </c>
      <c r="O56" s="31">
        <v>3210.5468409999994</v>
      </c>
      <c r="P56" s="32">
        <f t="shared" si="15"/>
        <v>7691.6654979999994</v>
      </c>
      <c r="Q56" s="31">
        <v>1182.8542439999997</v>
      </c>
      <c r="R56" s="31">
        <v>388.6110910000001</v>
      </c>
      <c r="S56" s="31">
        <v>1618.4481499999999</v>
      </c>
      <c r="T56" s="31"/>
      <c r="U56" s="32">
        <f t="shared" si="16"/>
        <v>3189.913485</v>
      </c>
      <c r="V56" s="32">
        <f t="shared" si="24"/>
        <v>10881.578982999999</v>
      </c>
      <c r="W56" s="33">
        <v>0</v>
      </c>
      <c r="X56" s="32">
        <f t="shared" si="25"/>
        <v>10881.578982999999</v>
      </c>
      <c r="Z56" s="32">
        <v>21332</v>
      </c>
      <c r="AB56" s="34">
        <v>7163.1201699999992</v>
      </c>
      <c r="AC56" s="34">
        <v>752.0073789999999</v>
      </c>
      <c r="AD56" s="34">
        <v>3339.9680810000004</v>
      </c>
      <c r="AE56" s="34">
        <v>37.016098</v>
      </c>
      <c r="AF56" s="32">
        <f t="shared" si="36"/>
        <v>11292.111728</v>
      </c>
      <c r="AH56" s="31">
        <v>1604.5810430000001</v>
      </c>
      <c r="AI56" s="31">
        <v>116.53235299999997</v>
      </c>
      <c r="AJ56" s="31">
        <v>1267.6590039999996</v>
      </c>
      <c r="AK56" s="31">
        <v>263.54948899999999</v>
      </c>
      <c r="AL56" s="31">
        <v>50.210838000000003</v>
      </c>
      <c r="AM56" s="31">
        <v>37.435353999999997</v>
      </c>
      <c r="AN56" s="32">
        <f t="shared" si="37"/>
        <v>1735.3870379999996</v>
      </c>
      <c r="AO56" s="35">
        <f t="shared" si="26"/>
        <v>0.15947934033389349</v>
      </c>
      <c r="AQ56" s="30">
        <v>39.104161870967744</v>
      </c>
      <c r="AR56" s="36">
        <f t="shared" si="18"/>
        <v>36.601964254435842</v>
      </c>
      <c r="AS56" s="36">
        <f t="shared" si="18"/>
        <v>2.49695852884554</v>
      </c>
      <c r="AT56" s="30">
        <v>115.66817700000004</v>
      </c>
      <c r="AU56" s="30">
        <v>202.63610699999998</v>
      </c>
      <c r="AV56" s="30">
        <v>72.985556000000003</v>
      </c>
      <c r="AW56" s="30">
        <f t="shared" si="27"/>
        <v>51.647510315898622</v>
      </c>
      <c r="AX56" s="7"/>
      <c r="AY56" s="36">
        <v>35.818069447984229</v>
      </c>
      <c r="AZ56" s="36">
        <v>2.49695852884554</v>
      </c>
      <c r="BA56" s="36">
        <v>0.78389480645161325</v>
      </c>
      <c r="BB56" s="36">
        <v>0</v>
      </c>
      <c r="BC56" s="7"/>
      <c r="BD56" s="32">
        <f t="shared" si="28"/>
        <v>1877.535398971256</v>
      </c>
      <c r="BE56" s="32">
        <f t="shared" si="29"/>
        <v>1191.0094418311267</v>
      </c>
      <c r="BF56" s="7"/>
      <c r="BG56" s="30">
        <v>3.3495437361298062</v>
      </c>
      <c r="BH56" s="36">
        <v>3.0412521950452152</v>
      </c>
      <c r="BI56" s="36">
        <v>7.8757000136596647</v>
      </c>
      <c r="BJ56" s="28">
        <v>769.46866574171986</v>
      </c>
      <c r="BK56" s="28">
        <v>725.88245359136727</v>
      </c>
      <c r="BL56" s="28">
        <v>229.78804319326892</v>
      </c>
      <c r="BM56" s="30">
        <f t="shared" si="30"/>
        <v>6.8002832049130468</v>
      </c>
      <c r="BN56" s="7"/>
      <c r="BO56" s="29">
        <f t="shared" si="31"/>
        <v>150.38570792580319</v>
      </c>
      <c r="BP56" s="29">
        <f t="shared" si="22"/>
        <v>252.86424045494269</v>
      </c>
      <c r="BQ56" s="30">
        <f t="shared" si="23"/>
        <v>403.24994838074588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2">
        <f t="shared" si="9"/>
        <v>0</v>
      </c>
      <c r="BZ56" s="31">
        <v>0</v>
      </c>
      <c r="CA56" s="31">
        <v>0</v>
      </c>
      <c r="CB56" s="31">
        <v>0</v>
      </c>
      <c r="CC56" s="31">
        <v>11.842098</v>
      </c>
      <c r="CD56" s="31">
        <v>25.173999999999999</v>
      </c>
      <c r="CE56" s="31">
        <v>0</v>
      </c>
      <c r="CF56" s="32">
        <f t="shared" si="19"/>
        <v>37.016098</v>
      </c>
      <c r="CG56" s="7"/>
      <c r="CH56" s="31"/>
      <c r="CI56" s="31"/>
      <c r="CJ56" s="31"/>
      <c r="CK56" s="31"/>
      <c r="CL56" s="31"/>
      <c r="CM56" s="32">
        <f t="shared" si="20"/>
        <v>0</v>
      </c>
      <c r="CN56" s="31"/>
      <c r="CO56" s="31"/>
      <c r="CP56" s="31">
        <v>120</v>
      </c>
      <c r="CQ56" s="31">
        <v>80</v>
      </c>
      <c r="CR56" s="31"/>
      <c r="CS56" s="32">
        <f t="shared" si="10"/>
        <v>92.796700505817782</v>
      </c>
      <c r="CU56" s="61">
        <v>70.825571692918899</v>
      </c>
      <c r="CV56" s="61">
        <v>5.0283493885543562</v>
      </c>
      <c r="CW56" s="61">
        <v>2.8656051120733252</v>
      </c>
      <c r="CX56" s="62">
        <v>1.3104738064533892</v>
      </c>
      <c r="CY56" s="63">
        <v>80.029999999999973</v>
      </c>
      <c r="DA56" s="32">
        <v>17930.685188172032</v>
      </c>
      <c r="DB56" s="30">
        <v>166.11973802411111</v>
      </c>
      <c r="DD56" s="50">
        <v>3650.8098577900164</v>
      </c>
      <c r="DE56" s="29">
        <f t="shared" si="34"/>
        <v>32.896610038088674</v>
      </c>
      <c r="DF56" s="51">
        <f t="shared" si="32"/>
        <v>0.41105348042095069</v>
      </c>
      <c r="DH56" s="33"/>
      <c r="DI56" s="32"/>
      <c r="DK56" s="50"/>
      <c r="DL56" s="50"/>
      <c r="DN56" s="31"/>
      <c r="DO56" s="31"/>
      <c r="DQ56" s="29"/>
      <c r="DR56" s="29"/>
      <c r="DT56" s="54"/>
      <c r="DU56" s="54"/>
      <c r="DV56" s="51"/>
      <c r="DX56" s="33"/>
      <c r="DY56" s="33"/>
      <c r="DZ56" s="33"/>
      <c r="EA56" s="33"/>
      <c r="EB56" s="33"/>
      <c r="EC56" s="33"/>
      <c r="ED56" s="33"/>
      <c r="EE56" s="32"/>
      <c r="EF56" s="33"/>
      <c r="EG56" s="33"/>
      <c r="EH56" s="33"/>
      <c r="EI56" s="32"/>
      <c r="EJ56" s="33"/>
      <c r="EK56" s="33"/>
      <c r="EL56" s="33"/>
      <c r="EM56" s="33"/>
      <c r="EN56" s="32"/>
      <c r="EO56" s="32"/>
      <c r="EP56" s="70">
        <f t="shared" si="33"/>
        <v>11292.111728</v>
      </c>
    </row>
    <row r="57" spans="1:146" x14ac:dyDescent="0.4">
      <c r="A57" s="22">
        <v>2022</v>
      </c>
      <c r="B57" s="37">
        <v>44652</v>
      </c>
      <c r="C57" s="38">
        <f t="shared" si="35"/>
        <v>30</v>
      </c>
      <c r="D57" s="39">
        <v>111.29646666666707</v>
      </c>
      <c r="E57" s="39">
        <v>115.3117</v>
      </c>
      <c r="F57" s="39">
        <v>101.78</v>
      </c>
      <c r="G57" s="39">
        <v>104.58</v>
      </c>
      <c r="H57" s="7"/>
      <c r="I57" s="40">
        <v>18.02333333333333</v>
      </c>
      <c r="J57" s="39">
        <v>22.8</v>
      </c>
      <c r="K57" s="39">
        <v>10.35</v>
      </c>
      <c r="L57" s="40">
        <v>17.900000000000002</v>
      </c>
      <c r="M57" s="22"/>
      <c r="N57" s="41">
        <v>3999.0974080000001</v>
      </c>
      <c r="O57" s="41">
        <v>2970.3874710000005</v>
      </c>
      <c r="P57" s="42">
        <f t="shared" si="15"/>
        <v>6969.4848790000005</v>
      </c>
      <c r="Q57" s="41">
        <v>1129.9630650000001</v>
      </c>
      <c r="R57" s="41">
        <v>386.545119</v>
      </c>
      <c r="S57" s="41">
        <v>1661.3710079999992</v>
      </c>
      <c r="T57" s="41"/>
      <c r="U57" s="42">
        <f t="shared" si="16"/>
        <v>3177.8791919999994</v>
      </c>
      <c r="V57" s="42">
        <f t="shared" si="24"/>
        <v>10147.364071</v>
      </c>
      <c r="W57" s="39">
        <v>0</v>
      </c>
      <c r="X57" s="42">
        <f t="shared" si="25"/>
        <v>10147.364071</v>
      </c>
      <c r="Z57" s="42">
        <v>19783</v>
      </c>
      <c r="AB57" s="41">
        <v>5992.6193370000055</v>
      </c>
      <c r="AC57" s="41">
        <v>657.87284699999998</v>
      </c>
      <c r="AD57" s="41">
        <v>3800.1970940000006</v>
      </c>
      <c r="AE57" s="41">
        <v>93.160316000000009</v>
      </c>
      <c r="AF57" s="42">
        <f t="shared" si="36"/>
        <v>10543.849594000005</v>
      </c>
      <c r="AH57" s="41">
        <v>2184.5435470000002</v>
      </c>
      <c r="AI57" s="41">
        <v>78.314311000000004</v>
      </c>
      <c r="AJ57" s="41">
        <v>1217.4322270000002</v>
      </c>
      <c r="AK57" s="41">
        <v>229.44756600000002</v>
      </c>
      <c r="AL57" s="41">
        <v>55.531277000000003</v>
      </c>
      <c r="AM57" s="41">
        <v>34.928166000000004</v>
      </c>
      <c r="AN57" s="42">
        <f t="shared" si="37"/>
        <v>1615.6535470000003</v>
      </c>
      <c r="AO57" s="43">
        <f t="shared" si="26"/>
        <v>0.15921903813595814</v>
      </c>
      <c r="AQ57" s="40">
        <v>34.775728399999991</v>
      </c>
      <c r="AR57" s="44">
        <f t="shared" si="18"/>
        <v>31.840780444789445</v>
      </c>
      <c r="AS57" s="44">
        <f t="shared" si="18"/>
        <v>2.9349479552104896</v>
      </c>
      <c r="AT57" s="40">
        <v>52.604296000000005</v>
      </c>
      <c r="AU57" s="40">
        <v>144.61567600000004</v>
      </c>
      <c r="AV57" s="40">
        <v>83.531403000000012</v>
      </c>
      <c r="AW57" s="40">
        <f t="shared" si="27"/>
        <v>43.535229102698409</v>
      </c>
      <c r="AX57" s="7"/>
      <c r="AY57" s="44">
        <v>31.051510311456113</v>
      </c>
      <c r="AZ57" s="44">
        <v>2.9349479552104896</v>
      </c>
      <c r="BA57" s="44">
        <v>0.78927013333333318</v>
      </c>
      <c r="BB57" s="44">
        <v>0</v>
      </c>
      <c r="BC57" s="7"/>
      <c r="BD57" s="38">
        <f t="shared" si="28"/>
        <v>1830.7316245073202</v>
      </c>
      <c r="BE57" s="38">
        <f t="shared" si="29"/>
        <v>1040.5002116231815</v>
      </c>
      <c r="BF57" s="7"/>
      <c r="BG57" s="40">
        <v>3.5169103381309643</v>
      </c>
      <c r="BH57" s="44">
        <v>2.9962475522296304</v>
      </c>
      <c r="BI57" s="44">
        <v>9.1654975378545895</v>
      </c>
      <c r="BJ57" s="38">
        <v>785.76352818038015</v>
      </c>
      <c r="BK57" s="38">
        <v>793.05601230131663</v>
      </c>
      <c r="BL57" s="38">
        <v>255.33001305258711</v>
      </c>
      <c r="BM57" s="40">
        <f t="shared" si="30"/>
        <v>6.4756513983174209</v>
      </c>
      <c r="BN57" s="7"/>
      <c r="BO57" s="39">
        <f t="shared" si="31"/>
        <v>135.89235413999396</v>
      </c>
      <c r="BP57" s="39">
        <f t="shared" si="22"/>
        <v>177.35094276551524</v>
      </c>
      <c r="BQ57" s="40">
        <f t="shared" si="23"/>
        <v>313.24329690550917</v>
      </c>
      <c r="BS57" s="41">
        <v>0</v>
      </c>
      <c r="BT57" s="41">
        <v>0</v>
      </c>
      <c r="BU57" s="41">
        <v>0</v>
      </c>
      <c r="BV57" s="41">
        <v>0</v>
      </c>
      <c r="BW57" s="41">
        <v>0</v>
      </c>
      <c r="BX57" s="41">
        <v>0</v>
      </c>
      <c r="BY57" s="42">
        <f t="shared" si="9"/>
        <v>0</v>
      </c>
      <c r="BZ57" s="41">
        <v>0</v>
      </c>
      <c r="CA57" s="41">
        <v>0</v>
      </c>
      <c r="CB57" s="41">
        <v>0</v>
      </c>
      <c r="CC57" s="41">
        <v>10.334316000000001</v>
      </c>
      <c r="CD57" s="41">
        <v>82.825999999999993</v>
      </c>
      <c r="CE57" s="41">
        <v>0</v>
      </c>
      <c r="CF57" s="42">
        <f t="shared" si="19"/>
        <v>93.160315999999995</v>
      </c>
      <c r="CG57" s="7"/>
      <c r="CH57" s="41"/>
      <c r="CI57" s="41"/>
      <c r="CJ57" s="41"/>
      <c r="CK57" s="41"/>
      <c r="CL57" s="41"/>
      <c r="CM57" s="42">
        <f t="shared" si="20"/>
        <v>0</v>
      </c>
      <c r="CN57" s="41"/>
      <c r="CO57" s="41"/>
      <c r="CP57" s="41">
        <v>120</v>
      </c>
      <c r="CQ57" s="41">
        <v>80</v>
      </c>
      <c r="CR57" s="41"/>
      <c r="CS57" s="42">
        <f t="shared" si="10"/>
        <v>84.437218096168763</v>
      </c>
      <c r="CU57" s="64">
        <v>69.543820954232928</v>
      </c>
      <c r="CV57" s="64">
        <v>8.57588565675211</v>
      </c>
      <c r="CW57" s="64">
        <v>2.5640290078028474</v>
      </c>
      <c r="CX57" s="65">
        <v>1.2962643812121084</v>
      </c>
      <c r="CY57" s="66">
        <v>81.97999999999999</v>
      </c>
      <c r="DA57" s="42">
        <v>19754.663763888937</v>
      </c>
      <c r="DB57" s="40">
        <v>177.32709855598654</v>
      </c>
      <c r="DD57" s="42">
        <v>3681.3901496728263</v>
      </c>
      <c r="DE57" s="39">
        <f t="shared" si="34"/>
        <v>31.92555612026209</v>
      </c>
      <c r="DF57" s="55">
        <f t="shared" si="32"/>
        <v>0.38943103342598312</v>
      </c>
      <c r="DH57" s="39"/>
      <c r="DI57" s="42"/>
      <c r="DK57" s="42"/>
      <c r="DL57" s="42"/>
      <c r="DN57" s="41"/>
      <c r="DO57" s="41"/>
      <c r="DQ57" s="39"/>
      <c r="DR57" s="39"/>
      <c r="DT57" s="56"/>
      <c r="DU57" s="56"/>
      <c r="DV57" s="55"/>
      <c r="DX57" s="39"/>
      <c r="DY57" s="39"/>
      <c r="DZ57" s="39"/>
      <c r="EA57" s="39"/>
      <c r="EB57" s="39"/>
      <c r="EC57" s="39"/>
      <c r="ED57" s="39"/>
      <c r="EE57" s="42"/>
      <c r="EF57" s="39"/>
      <c r="EG57" s="39"/>
      <c r="EH57" s="39"/>
      <c r="EI57" s="42"/>
      <c r="EJ57" s="39"/>
      <c r="EK57" s="39"/>
      <c r="EL57" s="39"/>
      <c r="EM57" s="39"/>
      <c r="EN57" s="42"/>
      <c r="EO57" s="39"/>
      <c r="EP57" s="72">
        <f t="shared" si="33"/>
        <v>10543.849594000005</v>
      </c>
    </row>
    <row r="58" spans="1:146" x14ac:dyDescent="0.4">
      <c r="A58" s="26">
        <v>2022</v>
      </c>
      <c r="B58" s="27">
        <v>44682</v>
      </c>
      <c r="C58" s="28">
        <f t="shared" si="35"/>
        <v>31</v>
      </c>
      <c r="D58" s="29">
        <v>115.83187096774215</v>
      </c>
      <c r="E58" s="29">
        <v>120.1617</v>
      </c>
      <c r="F58" s="29">
        <v>109.55</v>
      </c>
      <c r="G58" s="29">
        <v>113.34</v>
      </c>
      <c r="H58" s="7"/>
      <c r="I58" s="30">
        <v>13.835483870967746</v>
      </c>
      <c r="J58" s="29">
        <v>19.45</v>
      </c>
      <c r="K58" s="29">
        <v>7</v>
      </c>
      <c r="L58" s="30">
        <v>14.600000000000001</v>
      </c>
      <c r="M58" s="22"/>
      <c r="N58" s="31">
        <v>5346.3509270000004</v>
      </c>
      <c r="O58" s="31">
        <v>3161.7312689999994</v>
      </c>
      <c r="P58" s="32">
        <f t="shared" si="15"/>
        <v>8508.0821959999994</v>
      </c>
      <c r="Q58" s="31">
        <v>1165.337194</v>
      </c>
      <c r="R58" s="31">
        <v>373.52112900000003</v>
      </c>
      <c r="S58" s="31">
        <v>1681.0544820000005</v>
      </c>
      <c r="T58" s="31"/>
      <c r="U58" s="32">
        <f t="shared" si="16"/>
        <v>3219.9128050000004</v>
      </c>
      <c r="V58" s="32">
        <f t="shared" si="24"/>
        <v>11727.995000999999</v>
      </c>
      <c r="W58" s="33">
        <v>0</v>
      </c>
      <c r="X58" s="32">
        <f t="shared" si="25"/>
        <v>11727.995000999999</v>
      </c>
      <c r="Z58" s="32">
        <v>25362</v>
      </c>
      <c r="AB58" s="34">
        <v>7038.3848800000014</v>
      </c>
      <c r="AC58" s="34">
        <v>629.33420000000001</v>
      </c>
      <c r="AD58" s="34">
        <v>3758.8261030000008</v>
      </c>
      <c r="AE58" s="34">
        <v>828.07032600000002</v>
      </c>
      <c r="AF58" s="32">
        <f t="shared" si="36"/>
        <v>12254.615509000003</v>
      </c>
      <c r="AH58" s="31">
        <v>2290.1509169999999</v>
      </c>
      <c r="AI58" s="31">
        <v>50.511798999999996</v>
      </c>
      <c r="AJ58" s="31">
        <v>1136.1527699999999</v>
      </c>
      <c r="AK58" s="31">
        <v>188.002182</v>
      </c>
      <c r="AL58" s="31">
        <v>57.223251000000012</v>
      </c>
      <c r="AM58" s="31">
        <v>36.785183999999994</v>
      </c>
      <c r="AN58" s="32">
        <f t="shared" si="37"/>
        <v>1468.6751860000002</v>
      </c>
      <c r="AO58" s="35">
        <f t="shared" si="26"/>
        <v>0.12522815586762887</v>
      </c>
      <c r="AQ58" s="30">
        <v>33.499134419354831</v>
      </c>
      <c r="AR58" s="36">
        <f t="shared" si="18"/>
        <v>30.26659767349112</v>
      </c>
      <c r="AS58" s="36">
        <f t="shared" si="18"/>
        <v>3.2325367458637557</v>
      </c>
      <c r="AT58" s="30">
        <v>143.56697800000001</v>
      </c>
      <c r="AU58" s="30">
        <v>331.60273399999994</v>
      </c>
      <c r="AV58" s="30">
        <v>70.469247999999993</v>
      </c>
      <c r="AW58" s="30">
        <f t="shared" si="27"/>
        <v>51.289617450537619</v>
      </c>
      <c r="AX58" s="7"/>
      <c r="AY58" s="36">
        <v>29.446439479942732</v>
      </c>
      <c r="AZ58" s="36">
        <v>3.2325367458637557</v>
      </c>
      <c r="BA58" s="36">
        <v>0.82015819354838748</v>
      </c>
      <c r="BB58" s="36">
        <v>0</v>
      </c>
      <c r="BC58" s="7"/>
      <c r="BD58" s="32">
        <f t="shared" si="28"/>
        <v>1897.5683501013648</v>
      </c>
      <c r="BE58" s="32">
        <f t="shared" si="29"/>
        <v>1089.860091841417</v>
      </c>
      <c r="BF58" s="7"/>
      <c r="BG58" s="30">
        <v>6.9839588075395236</v>
      </c>
      <c r="BH58" s="36">
        <v>4.5259250176220398</v>
      </c>
      <c r="BI58" s="36">
        <v>29.998799979097402</v>
      </c>
      <c r="BJ58" s="28">
        <v>818.01320355444352</v>
      </c>
      <c r="BK58" s="28">
        <v>801.55391636779768</v>
      </c>
      <c r="BL58" s="28">
        <v>286.0604736156838</v>
      </c>
      <c r="BM58" s="30">
        <f t="shared" si="30"/>
        <v>11.411688688180346</v>
      </c>
      <c r="BN58" s="7"/>
      <c r="BO58" s="29">
        <f t="shared" si="31"/>
        <v>268.61680818752262</v>
      </c>
      <c r="BP58" s="29">
        <f t="shared" si="22"/>
        <v>403.39562017260045</v>
      </c>
      <c r="BQ58" s="30">
        <f t="shared" si="23"/>
        <v>672.01242836012307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2">
        <f t="shared" si="9"/>
        <v>0</v>
      </c>
      <c r="BZ58" s="31">
        <v>160.54479999999998</v>
      </c>
      <c r="CA58" s="31">
        <v>595.97799999999995</v>
      </c>
      <c r="CB58" s="31">
        <v>0</v>
      </c>
      <c r="CC58" s="31">
        <v>11.130138000000001</v>
      </c>
      <c r="CD58" s="31">
        <v>60.436999999999998</v>
      </c>
      <c r="CE58" s="31">
        <v>0</v>
      </c>
      <c r="CF58" s="32">
        <f t="shared" si="19"/>
        <v>828.08993799999996</v>
      </c>
      <c r="CG58" s="7"/>
      <c r="CH58" s="31"/>
      <c r="CI58" s="31"/>
      <c r="CJ58" s="31"/>
      <c r="CK58" s="31"/>
      <c r="CL58" s="31"/>
      <c r="CM58" s="32">
        <f t="shared" si="20"/>
        <v>0</v>
      </c>
      <c r="CN58" s="31">
        <v>19.25</v>
      </c>
      <c r="CO58" s="31"/>
      <c r="CP58" s="31">
        <v>120</v>
      </c>
      <c r="CQ58" s="31">
        <v>80</v>
      </c>
      <c r="CR58" s="31"/>
      <c r="CS58" s="32">
        <f t="shared" si="10"/>
        <v>11.18364507889963</v>
      </c>
      <c r="CU58" s="61">
        <v>87.128636299551374</v>
      </c>
      <c r="CV58" s="61">
        <v>8.6589649570165257</v>
      </c>
      <c r="CW58" s="61">
        <v>3.455820475678745</v>
      </c>
      <c r="CX58" s="62">
        <v>1.2865782677533382</v>
      </c>
      <c r="CY58" s="63">
        <v>100.52999999999999</v>
      </c>
      <c r="DA58" s="32">
        <v>23291.347728494624</v>
      </c>
      <c r="DB58" s="30">
        <v>200.86097416605847</v>
      </c>
      <c r="DD58" s="50">
        <v>4280.0557629548584</v>
      </c>
      <c r="DE58" s="29">
        <f t="shared" si="34"/>
        <v>35.619134574118533</v>
      </c>
      <c r="DF58" s="51">
        <f t="shared" si="32"/>
        <v>0.35431348427453035</v>
      </c>
      <c r="DH58" s="33"/>
      <c r="DI58" s="32"/>
      <c r="DK58" s="50"/>
      <c r="DL58" s="50"/>
      <c r="DN58" s="31"/>
      <c r="DO58" s="31"/>
      <c r="DQ58" s="29"/>
      <c r="DR58" s="29"/>
      <c r="DT58" s="54"/>
      <c r="DU58" s="54"/>
      <c r="DV58" s="51"/>
      <c r="DX58" s="33"/>
      <c r="DY58" s="33"/>
      <c r="DZ58" s="33"/>
      <c r="EA58" s="33"/>
      <c r="EB58" s="33"/>
      <c r="EC58" s="33"/>
      <c r="ED58" s="33"/>
      <c r="EE58" s="32"/>
      <c r="EF58" s="33"/>
      <c r="EG58" s="33"/>
      <c r="EH58" s="33"/>
      <c r="EI58" s="32"/>
      <c r="EJ58" s="33"/>
      <c r="EK58" s="33"/>
      <c r="EL58" s="33"/>
      <c r="EM58" s="33"/>
      <c r="EN58" s="32"/>
      <c r="EO58" s="32"/>
      <c r="EP58" s="70">
        <f t="shared" si="33"/>
        <v>12254.615509000003</v>
      </c>
    </row>
    <row r="59" spans="1:146" x14ac:dyDescent="0.4">
      <c r="A59" s="22">
        <v>2022</v>
      </c>
      <c r="B59" s="37">
        <v>44713</v>
      </c>
      <c r="C59" s="38">
        <f t="shared" si="35"/>
        <v>30</v>
      </c>
      <c r="D59" s="39">
        <v>120.24399999999839</v>
      </c>
      <c r="E59" s="39">
        <v>125.215</v>
      </c>
      <c r="F59" s="39">
        <v>114.84</v>
      </c>
      <c r="G59" s="39">
        <v>122.71</v>
      </c>
      <c r="H59" s="7"/>
      <c r="I59" s="40">
        <v>10.763333333333334</v>
      </c>
      <c r="J59" s="39">
        <v>14.200000000000001</v>
      </c>
      <c r="K59" s="39">
        <v>7.4</v>
      </c>
      <c r="L59" s="40">
        <v>11.600000000000001</v>
      </c>
      <c r="M59" s="22"/>
      <c r="N59" s="41">
        <v>6686.6298879999995</v>
      </c>
      <c r="O59" s="41">
        <v>3301.7655859999986</v>
      </c>
      <c r="P59" s="42">
        <f t="shared" si="15"/>
        <v>9988.3954739999972</v>
      </c>
      <c r="Q59" s="41">
        <v>1130.5090250000001</v>
      </c>
      <c r="R59" s="41">
        <v>376.67295200000001</v>
      </c>
      <c r="S59" s="41">
        <v>1578.8929269999996</v>
      </c>
      <c r="T59" s="41"/>
      <c r="U59" s="42">
        <f t="shared" si="16"/>
        <v>3086.0749040000001</v>
      </c>
      <c r="V59" s="42">
        <f t="shared" si="24"/>
        <v>13074.470377999998</v>
      </c>
      <c r="W59" s="39">
        <v>0</v>
      </c>
      <c r="X59" s="42">
        <f t="shared" si="25"/>
        <v>13074.470377999998</v>
      </c>
      <c r="Z59" s="42">
        <v>26062</v>
      </c>
      <c r="AB59" s="41">
        <v>7491.4104410000036</v>
      </c>
      <c r="AC59" s="41">
        <v>678.91967399999999</v>
      </c>
      <c r="AD59" s="41">
        <v>4438.3606739999996</v>
      </c>
      <c r="AE59" s="41">
        <v>1086.3023799999999</v>
      </c>
      <c r="AF59" s="42">
        <f t="shared" si="36"/>
        <v>13694.993169000003</v>
      </c>
      <c r="AH59" s="41">
        <v>3037.3642159999999</v>
      </c>
      <c r="AI59" s="41">
        <v>49.786865000000006</v>
      </c>
      <c r="AJ59" s="41">
        <v>1093.8167690000002</v>
      </c>
      <c r="AK59" s="41">
        <v>158.58000999999999</v>
      </c>
      <c r="AL59" s="41">
        <v>65.046395999999973</v>
      </c>
      <c r="AM59" s="41">
        <v>33.766418000000002</v>
      </c>
      <c r="AN59" s="42">
        <f t="shared" si="37"/>
        <v>1400.9964580000001</v>
      </c>
      <c r="AO59" s="43">
        <f t="shared" si="26"/>
        <v>0.10715512120149914</v>
      </c>
      <c r="AQ59" s="40">
        <v>28.635327333333354</v>
      </c>
      <c r="AR59" s="44">
        <f t="shared" si="18"/>
        <v>23.071518753434596</v>
      </c>
      <c r="AS59" s="44">
        <f t="shared" si="18"/>
        <v>5.5638085798987289</v>
      </c>
      <c r="AT59" s="40">
        <v>206.33330300000009</v>
      </c>
      <c r="AU59" s="40">
        <v>567.53921600000001</v>
      </c>
      <c r="AV59" s="40">
        <v>103.95952399999999</v>
      </c>
      <c r="AW59" s="40">
        <f t="shared" si="27"/>
        <v>58.210463334444469</v>
      </c>
      <c r="AX59" s="7"/>
      <c r="AY59" s="44">
        <v>22.181089653434597</v>
      </c>
      <c r="AZ59" s="44">
        <v>5.5638085798987289</v>
      </c>
      <c r="BA59" s="44">
        <v>0.89042909999999886</v>
      </c>
      <c r="BB59" s="44">
        <v>0</v>
      </c>
      <c r="BC59" s="7"/>
      <c r="BD59" s="38">
        <f t="shared" si="28"/>
        <v>1958.114146302453</v>
      </c>
      <c r="BE59" s="38">
        <f t="shared" si="29"/>
        <v>1071.1240655077397</v>
      </c>
      <c r="BF59" s="7"/>
      <c r="BG59" s="40">
        <v>9.9035853528102482</v>
      </c>
      <c r="BH59" s="44">
        <v>4.6308377549786393</v>
      </c>
      <c r="BI59" s="44">
        <v>31.768157675626135</v>
      </c>
      <c r="BJ59" s="38">
        <v>813.17330283119531</v>
      </c>
      <c r="BK59" s="38">
        <v>991.60916482012044</v>
      </c>
      <c r="BL59" s="38">
        <v>326.26345541776845</v>
      </c>
      <c r="BM59" s="40">
        <f t="shared" si="30"/>
        <v>16.69157684347693</v>
      </c>
      <c r="BN59" s="7"/>
      <c r="BO59" s="39">
        <f t="shared" si="31"/>
        <v>315.10267594591909</v>
      </c>
      <c r="BP59" s="39">
        <f t="shared" si="22"/>
        <v>764.48001498883218</v>
      </c>
      <c r="BQ59" s="40">
        <f t="shared" si="23"/>
        <v>1079.5826909347513</v>
      </c>
      <c r="BS59" s="41">
        <v>0</v>
      </c>
      <c r="BT59" s="41">
        <v>0</v>
      </c>
      <c r="BU59" s="41">
        <v>0</v>
      </c>
      <c r="BV59" s="41">
        <v>0</v>
      </c>
      <c r="BW59" s="41">
        <v>0</v>
      </c>
      <c r="BX59" s="41">
        <v>0</v>
      </c>
      <c r="BY59" s="42">
        <f t="shared" si="9"/>
        <v>0</v>
      </c>
      <c r="BZ59" s="41">
        <v>816.19839999999999</v>
      </c>
      <c r="CA59" s="41">
        <v>146.0241</v>
      </c>
      <c r="CB59" s="41">
        <v>0</v>
      </c>
      <c r="CC59" s="41">
        <v>7.3309199999999999</v>
      </c>
      <c r="CD59" s="41">
        <v>116.749</v>
      </c>
      <c r="CE59" s="41">
        <v>0</v>
      </c>
      <c r="CF59" s="42">
        <f t="shared" si="19"/>
        <v>1086.30242</v>
      </c>
      <c r="CG59" s="7"/>
      <c r="CH59" s="41"/>
      <c r="CI59" s="41"/>
      <c r="CJ59" s="41"/>
      <c r="CK59" s="41"/>
      <c r="CL59" s="41"/>
      <c r="CM59" s="42">
        <f t="shared" si="20"/>
        <v>0</v>
      </c>
      <c r="CN59" s="41">
        <v>88.45</v>
      </c>
      <c r="CO59" s="41"/>
      <c r="CP59" s="41">
        <v>120</v>
      </c>
      <c r="CQ59" s="41">
        <v>133.94494278323583</v>
      </c>
      <c r="CR59" s="41"/>
      <c r="CS59" s="42">
        <f t="shared" si="10"/>
        <v>81.662707706202099</v>
      </c>
      <c r="CU59" s="64">
        <v>108.87578600850304</v>
      </c>
      <c r="CV59" s="64">
        <v>7.1998075118865401</v>
      </c>
      <c r="CW59" s="64">
        <v>5.334722142974579</v>
      </c>
      <c r="CX59" s="65">
        <v>1.1096843366358196</v>
      </c>
      <c r="CY59" s="66">
        <v>122.52</v>
      </c>
      <c r="DA59" s="42">
        <v>33351.853597222245</v>
      </c>
      <c r="DB59" s="40">
        <v>277.38644713948503</v>
      </c>
      <c r="DD59" s="42">
        <v>4714.5201475961949</v>
      </c>
      <c r="DE59" s="39">
        <f t="shared" si="34"/>
        <v>37.651400771442674</v>
      </c>
      <c r="DF59" s="55">
        <f t="shared" si="32"/>
        <v>0.30730820087693989</v>
      </c>
      <c r="DH59" s="39"/>
      <c r="DI59" s="42"/>
      <c r="DK59" s="42"/>
      <c r="DL59" s="42"/>
      <c r="DN59" s="41"/>
      <c r="DO59" s="41"/>
      <c r="DQ59" s="39"/>
      <c r="DR59" s="39"/>
      <c r="DT59" s="56"/>
      <c r="DU59" s="56"/>
      <c r="DV59" s="55"/>
      <c r="DX59" s="39"/>
      <c r="DY59" s="39"/>
      <c r="DZ59" s="39"/>
      <c r="EA59" s="39"/>
      <c r="EB59" s="39"/>
      <c r="EC59" s="39"/>
      <c r="ED59" s="39"/>
      <c r="EE59" s="42"/>
      <c r="EF59" s="39"/>
      <c r="EG59" s="39"/>
      <c r="EH59" s="39"/>
      <c r="EI59" s="42"/>
      <c r="EJ59" s="39"/>
      <c r="EK59" s="39"/>
      <c r="EL59" s="39"/>
      <c r="EM59" s="39"/>
      <c r="EN59" s="42"/>
      <c r="EO59" s="39"/>
      <c r="EP59" s="72">
        <f t="shared" si="33"/>
        <v>13694.993169000003</v>
      </c>
    </row>
    <row r="60" spans="1:146" x14ac:dyDescent="0.4">
      <c r="A60" s="26">
        <v>2022</v>
      </c>
      <c r="B60" s="27">
        <v>44743</v>
      </c>
      <c r="C60" s="28">
        <f t="shared" si="35"/>
        <v>31</v>
      </c>
      <c r="D60" s="29">
        <v>125.56135483871169</v>
      </c>
      <c r="E60" s="29">
        <v>131.22669999999999</v>
      </c>
      <c r="F60" s="29">
        <v>101.62</v>
      </c>
      <c r="G60" s="29">
        <v>111.93</v>
      </c>
      <c r="H60" s="7"/>
      <c r="I60" s="30">
        <v>12.601612903225808</v>
      </c>
      <c r="J60" s="29">
        <v>18.900000000000002</v>
      </c>
      <c r="K60" s="29">
        <v>7.95</v>
      </c>
      <c r="L60" s="30">
        <v>11.100000000000001</v>
      </c>
      <c r="M60" s="22"/>
      <c r="N60" s="31">
        <v>6277.7612029999991</v>
      </c>
      <c r="O60" s="31">
        <v>3279.2385799999993</v>
      </c>
      <c r="P60" s="32">
        <f t="shared" si="15"/>
        <v>9556.9997829999993</v>
      </c>
      <c r="Q60" s="31">
        <v>1142.4575259999999</v>
      </c>
      <c r="R60" s="31">
        <v>380.00092199999989</v>
      </c>
      <c r="S60" s="31">
        <v>1560.1611349999996</v>
      </c>
      <c r="T60" s="31"/>
      <c r="U60" s="32">
        <f t="shared" si="16"/>
        <v>3082.6195829999997</v>
      </c>
      <c r="V60" s="32">
        <f t="shared" si="24"/>
        <v>12639.619365999999</v>
      </c>
      <c r="W60" s="33">
        <v>0</v>
      </c>
      <c r="X60" s="32">
        <f t="shared" si="25"/>
        <v>12639.619365999999</v>
      </c>
      <c r="Z60" s="32">
        <v>24477</v>
      </c>
      <c r="AB60" s="34">
        <v>7328.2415370000035</v>
      </c>
      <c r="AC60" s="34">
        <v>737.09366499999999</v>
      </c>
      <c r="AD60" s="34">
        <v>4037.6183159999991</v>
      </c>
      <c r="AE60" s="34">
        <v>1125.993643</v>
      </c>
      <c r="AF60" s="32">
        <f t="shared" si="36"/>
        <v>13228.947161000002</v>
      </c>
      <c r="AH60" s="31">
        <v>2473.8884739999999</v>
      </c>
      <c r="AI60" s="31">
        <v>49.805634000000012</v>
      </c>
      <c r="AJ60" s="31">
        <v>1224.9899639999999</v>
      </c>
      <c r="AK60" s="31">
        <v>176.88055900000003</v>
      </c>
      <c r="AL60" s="31">
        <v>75.896246000000005</v>
      </c>
      <c r="AM60" s="31">
        <v>36.157438999999997</v>
      </c>
      <c r="AN60" s="32">
        <f t="shared" si="37"/>
        <v>1563.729842</v>
      </c>
      <c r="AO60" s="35">
        <f t="shared" si="26"/>
        <v>0.12371652948714279</v>
      </c>
      <c r="AQ60" s="30">
        <v>42.91811258064515</v>
      </c>
      <c r="AR60" s="36">
        <f t="shared" si="18"/>
        <v>25.252983851176793</v>
      </c>
      <c r="AS60" s="36">
        <f t="shared" si="18"/>
        <v>17.643981297970527</v>
      </c>
      <c r="AT60" s="30">
        <v>130.08711300000004</v>
      </c>
      <c r="AU60" s="30">
        <v>70.252025999999987</v>
      </c>
      <c r="AV60" s="30">
        <v>86.540126999999998</v>
      </c>
      <c r="AW60" s="30">
        <f t="shared" si="27"/>
        <v>51.923230769124416</v>
      </c>
      <c r="AX60" s="7"/>
      <c r="AY60" s="36">
        <v>24.395314722144533</v>
      </c>
      <c r="AZ60" s="36">
        <v>17.643981297970527</v>
      </c>
      <c r="BA60" s="36">
        <v>0.85766912903225823</v>
      </c>
      <c r="BB60" s="36">
        <v>0</v>
      </c>
      <c r="BC60" s="7"/>
      <c r="BD60" s="32">
        <f t="shared" si="28"/>
        <v>1845.0277906389906</v>
      </c>
      <c r="BE60" s="32">
        <f t="shared" si="29"/>
        <v>1022.0623854436753</v>
      </c>
      <c r="BF60" s="7"/>
      <c r="BG60" s="30">
        <v>14.012269620485306</v>
      </c>
      <c r="BH60" s="36">
        <v>5.1713108937958339</v>
      </c>
      <c r="BI60" s="36">
        <v>26.682704240116887</v>
      </c>
      <c r="BJ60" s="28">
        <v>824.02937908947536</v>
      </c>
      <c r="BK60" s="28">
        <v>1049.8520989822823</v>
      </c>
      <c r="BL60" s="28">
        <v>360.59852003625087</v>
      </c>
      <c r="BM60" s="30">
        <f t="shared" si="30"/>
        <v>15.140838826657642</v>
      </c>
      <c r="BN60" s="7"/>
      <c r="BO60" s="29">
        <f t="shared" si="31"/>
        <v>690.47352287231888</v>
      </c>
      <c r="BP60" s="29">
        <f t="shared" si="22"/>
        <v>212.15608162673951</v>
      </c>
      <c r="BQ60" s="30">
        <f t="shared" si="23"/>
        <v>902.62960449905836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2">
        <f t="shared" si="9"/>
        <v>0</v>
      </c>
      <c r="BZ60" s="31">
        <v>677.58050399999991</v>
      </c>
      <c r="CA60" s="31">
        <v>0</v>
      </c>
      <c r="CB60" s="31">
        <v>0</v>
      </c>
      <c r="CC60" s="31">
        <v>10.838585999999999</v>
      </c>
      <c r="CD60" s="31">
        <v>437.57455300000004</v>
      </c>
      <c r="CE60" s="31">
        <v>0</v>
      </c>
      <c r="CF60" s="32">
        <f t="shared" si="19"/>
        <v>1125.9936429999998</v>
      </c>
      <c r="CG60" s="7"/>
      <c r="CH60" s="31"/>
      <c r="CI60" s="31"/>
      <c r="CJ60" s="31"/>
      <c r="CK60" s="31"/>
      <c r="CL60" s="31"/>
      <c r="CM60" s="32">
        <f t="shared" si="20"/>
        <v>0</v>
      </c>
      <c r="CN60" s="31">
        <v>110.8</v>
      </c>
      <c r="CO60" s="31"/>
      <c r="CP60" s="31">
        <v>120</v>
      </c>
      <c r="CQ60" s="31">
        <v>145.9</v>
      </c>
      <c r="CR60" s="31"/>
      <c r="CS60" s="32">
        <f t="shared" si="10"/>
        <v>124.52883576883569</v>
      </c>
      <c r="CU60" s="61">
        <v>113.75337098632725</v>
      </c>
      <c r="CV60" s="61">
        <v>7.4192676855469424</v>
      </c>
      <c r="CW60" s="61">
        <v>5.4252301133976824</v>
      </c>
      <c r="CX60" s="62">
        <v>1.1121312147281399</v>
      </c>
      <c r="CY60" s="63">
        <v>127.71000000000002</v>
      </c>
      <c r="DA60" s="32">
        <v>31996.228884408625</v>
      </c>
      <c r="DB60" s="30">
        <v>255.1109168787774</v>
      </c>
      <c r="DD60" s="50">
        <v>4777.7487875748902</v>
      </c>
      <c r="DE60" s="29">
        <f t="shared" si="34"/>
        <v>36.40835887494611</v>
      </c>
      <c r="DF60" s="51">
        <f t="shared" si="32"/>
        <v>0.28508620213723362</v>
      </c>
      <c r="DH60" s="33"/>
      <c r="DI60" s="32"/>
      <c r="DK60" s="50"/>
      <c r="DL60" s="50"/>
      <c r="DN60" s="31"/>
      <c r="DO60" s="31"/>
      <c r="DQ60" s="29"/>
      <c r="DR60" s="29"/>
      <c r="DT60" s="54"/>
      <c r="DU60" s="54"/>
      <c r="DV60" s="51"/>
      <c r="DX60" s="33"/>
      <c r="DY60" s="33"/>
      <c r="DZ60" s="33"/>
      <c r="EA60" s="33"/>
      <c r="EB60" s="33"/>
      <c r="EC60" s="33"/>
      <c r="ED60" s="33"/>
      <c r="EE60" s="32"/>
      <c r="EF60" s="33"/>
      <c r="EG60" s="33"/>
      <c r="EH60" s="33"/>
      <c r="EI60" s="32"/>
      <c r="EJ60" s="33"/>
      <c r="EK60" s="33"/>
      <c r="EL60" s="33"/>
      <c r="EM60" s="33"/>
      <c r="EN60" s="32"/>
      <c r="EO60" s="32"/>
      <c r="EP60" s="70">
        <f t="shared" si="33"/>
        <v>13228.947161000002</v>
      </c>
    </row>
    <row r="61" spans="1:146" x14ac:dyDescent="0.4">
      <c r="A61" s="22">
        <v>2022</v>
      </c>
      <c r="B61" s="37">
        <v>44774</v>
      </c>
      <c r="C61" s="38">
        <f t="shared" si="35"/>
        <v>31</v>
      </c>
      <c r="D61" s="39">
        <v>132.43667741935317</v>
      </c>
      <c r="E61" s="39">
        <v>138.7133</v>
      </c>
      <c r="F61" s="39">
        <v>93.67</v>
      </c>
      <c r="G61" s="39">
        <v>100.45</v>
      </c>
      <c r="H61" s="7"/>
      <c r="I61" s="40">
        <v>13.724193548387099</v>
      </c>
      <c r="J61" s="39">
        <v>20.900000000000002</v>
      </c>
      <c r="K61" s="39">
        <v>8.8000000000000007</v>
      </c>
      <c r="L61" s="40">
        <v>12.600000000000001</v>
      </c>
      <c r="M61" s="22"/>
      <c r="N61" s="41">
        <v>5480.9266029999999</v>
      </c>
      <c r="O61" s="41">
        <v>3218.3859820000007</v>
      </c>
      <c r="P61" s="42">
        <f t="shared" si="15"/>
        <v>8699.3125849999997</v>
      </c>
      <c r="Q61" s="41">
        <v>1126.5328450000004</v>
      </c>
      <c r="R61" s="41">
        <v>385.49442699999992</v>
      </c>
      <c r="S61" s="41">
        <v>1571.0797739999996</v>
      </c>
      <c r="T61" s="41"/>
      <c r="U61" s="42">
        <f t="shared" si="16"/>
        <v>3083.1070460000001</v>
      </c>
      <c r="V61" s="42">
        <f t="shared" si="24"/>
        <v>11782.419631000001</v>
      </c>
      <c r="W61" s="39">
        <v>3.48E-3</v>
      </c>
      <c r="X61" s="42">
        <f t="shared" si="25"/>
        <v>11782.423111</v>
      </c>
      <c r="Z61" s="42">
        <v>23389</v>
      </c>
      <c r="AB61" s="41">
        <v>6126.7128659999962</v>
      </c>
      <c r="AC61" s="41">
        <v>948.53902200000005</v>
      </c>
      <c r="AD61" s="41">
        <v>4242.2754960000011</v>
      </c>
      <c r="AE61" s="41">
        <v>983.88421600000004</v>
      </c>
      <c r="AF61" s="42">
        <f t="shared" si="36"/>
        <v>12301.411599999998</v>
      </c>
      <c r="AH61" s="41">
        <v>2654.532753</v>
      </c>
      <c r="AI61" s="41">
        <v>66.232719000000017</v>
      </c>
      <c r="AJ61" s="41">
        <v>1176.8237239999999</v>
      </c>
      <c r="AK61" s="41">
        <v>230.82562000000001</v>
      </c>
      <c r="AL61" s="41">
        <v>77.76387600000001</v>
      </c>
      <c r="AM61" s="41">
        <v>36.096804000000006</v>
      </c>
      <c r="AN61" s="42">
        <f t="shared" si="37"/>
        <v>1587.742743</v>
      </c>
      <c r="AO61" s="43">
        <f t="shared" si="26"/>
        <v>0.1347552364221172</v>
      </c>
      <c r="AQ61" s="40">
        <v>32.764741451612913</v>
      </c>
      <c r="AR61" s="44">
        <f t="shared" si="18"/>
        <v>27.396711777918469</v>
      </c>
      <c r="AS61" s="44">
        <f t="shared" si="18"/>
        <v>5.3680296736945055</v>
      </c>
      <c r="AT61" s="40">
        <v>107.21729100000003</v>
      </c>
      <c r="AU61" s="40">
        <v>184.21988000000007</v>
      </c>
      <c r="AV61" s="40">
        <v>60.623007000000001</v>
      </c>
      <c r="AW61" s="40">
        <f t="shared" si="27"/>
        <v>44.126877626728124</v>
      </c>
      <c r="AX61" s="7"/>
      <c r="AY61" s="44">
        <v>26.426627713402343</v>
      </c>
      <c r="AZ61" s="44">
        <v>5.3680296736945055</v>
      </c>
      <c r="BA61" s="44">
        <v>0.97008406451612705</v>
      </c>
      <c r="BB61" s="44">
        <v>0</v>
      </c>
      <c r="BC61" s="7"/>
      <c r="BD61" s="38">
        <f t="shared" si="28"/>
        <v>1875.4981970457516</v>
      </c>
      <c r="BE61" s="38">
        <f t="shared" si="29"/>
        <v>934.09108707491782</v>
      </c>
      <c r="BF61" s="7"/>
      <c r="BG61" s="40">
        <v>7.7718624675941275</v>
      </c>
      <c r="BH61" s="44">
        <v>4.3391449766149783</v>
      </c>
      <c r="BI61" s="44">
        <v>25.291357968193481</v>
      </c>
      <c r="BJ61" s="38">
        <v>857.09418347901624</v>
      </c>
      <c r="BK61" s="38">
        <v>1038.6722311437597</v>
      </c>
      <c r="BL61" s="38">
        <v>383.08947841722068</v>
      </c>
      <c r="BM61" s="40">
        <f t="shared" si="30"/>
        <v>11.819617676890761</v>
      </c>
      <c r="BN61" s="7"/>
      <c r="BO61" s="39">
        <f t="shared" si="31"/>
        <v>292.36796277017385</v>
      </c>
      <c r="BP61" s="39">
        <f t="shared" si="22"/>
        <v>306.46342639682638</v>
      </c>
      <c r="BQ61" s="40">
        <f t="shared" si="23"/>
        <v>598.83138916700022</v>
      </c>
      <c r="BS61" s="41">
        <v>0</v>
      </c>
      <c r="BT61" s="41">
        <v>0</v>
      </c>
      <c r="BU61" s="41">
        <v>0</v>
      </c>
      <c r="BV61" s="41">
        <v>3.48E-3</v>
      </c>
      <c r="BW61" s="41">
        <v>0</v>
      </c>
      <c r="BX61" s="41">
        <v>0</v>
      </c>
      <c r="BY61" s="42">
        <f t="shared" si="9"/>
        <v>3.48E-3</v>
      </c>
      <c r="BZ61" s="41">
        <v>620.48360000000002</v>
      </c>
      <c r="CA61" s="41">
        <v>0</v>
      </c>
      <c r="CB61" s="41">
        <v>0</v>
      </c>
      <c r="CC61" s="41">
        <v>10.781628000000001</v>
      </c>
      <c r="CD61" s="41">
        <v>352.61900000000003</v>
      </c>
      <c r="CE61" s="41">
        <v>0</v>
      </c>
      <c r="CF61" s="42">
        <f t="shared" si="19"/>
        <v>983.88422800000001</v>
      </c>
      <c r="CG61" s="7"/>
      <c r="CH61" s="41"/>
      <c r="CI61" s="41"/>
      <c r="CJ61" s="41"/>
      <c r="CK61" s="41"/>
      <c r="CL61" s="41"/>
      <c r="CM61" s="42">
        <f t="shared" si="20"/>
        <v>0</v>
      </c>
      <c r="CN61" s="41">
        <v>110.8</v>
      </c>
      <c r="CO61" s="41"/>
      <c r="CP61" s="41">
        <v>120</v>
      </c>
      <c r="CQ61" s="41">
        <v>80</v>
      </c>
      <c r="CR61" s="41"/>
      <c r="CS61" s="42">
        <f t="shared" si="10"/>
        <v>99.862255582371233</v>
      </c>
      <c r="CU61" s="64">
        <v>88.205032149360605</v>
      </c>
      <c r="CV61" s="64">
        <v>7.3785878757987611</v>
      </c>
      <c r="CW61" s="64">
        <v>5.7815004439261664</v>
      </c>
      <c r="CX61" s="65">
        <v>1.1048795309144537</v>
      </c>
      <c r="CY61" s="66">
        <v>102.46999999999998</v>
      </c>
      <c r="DA61" s="42">
        <v>26225.680739247335</v>
      </c>
      <c r="DB61" s="40">
        <v>197.96212802340702</v>
      </c>
      <c r="DD61" s="42">
        <v>4883.6633592057633</v>
      </c>
      <c r="DE61" s="39">
        <f t="shared" si="34"/>
        <v>35.20688614001515</v>
      </c>
      <c r="DF61" s="55">
        <f t="shared" si="32"/>
        <v>0.34358237669576613</v>
      </c>
      <c r="DH61" s="39"/>
      <c r="DI61" s="42"/>
      <c r="DK61" s="42"/>
      <c r="DL61" s="42"/>
      <c r="DN61" s="41"/>
      <c r="DO61" s="41"/>
      <c r="DQ61" s="39"/>
      <c r="DR61" s="39"/>
      <c r="DT61" s="56"/>
      <c r="DU61" s="56"/>
      <c r="DV61" s="55"/>
      <c r="DX61" s="39"/>
      <c r="DY61" s="39"/>
      <c r="DZ61" s="39"/>
      <c r="EA61" s="39"/>
      <c r="EB61" s="39"/>
      <c r="EC61" s="39"/>
      <c r="ED61" s="39"/>
      <c r="EE61" s="42"/>
      <c r="EF61" s="39"/>
      <c r="EG61" s="39"/>
      <c r="EH61" s="39"/>
      <c r="EI61" s="42"/>
      <c r="EJ61" s="39"/>
      <c r="EK61" s="39"/>
      <c r="EL61" s="39"/>
      <c r="EM61" s="39"/>
      <c r="EN61" s="42"/>
      <c r="EO61" s="39"/>
      <c r="EP61" s="72">
        <f t="shared" si="33"/>
        <v>12301.411599999998</v>
      </c>
    </row>
    <row r="62" spans="1:146" x14ac:dyDescent="0.4">
      <c r="A62" s="26">
        <v>2022</v>
      </c>
      <c r="B62" s="27">
        <v>44805</v>
      </c>
      <c r="C62" s="28">
        <f t="shared" si="35"/>
        <v>30</v>
      </c>
      <c r="D62" s="29">
        <v>138.91116666666494</v>
      </c>
      <c r="E62" s="29">
        <v>147.315</v>
      </c>
      <c r="F62" s="29">
        <v>84.26</v>
      </c>
      <c r="G62" s="29">
        <v>89.76</v>
      </c>
      <c r="H62" s="7"/>
      <c r="I62" s="30">
        <v>15.84</v>
      </c>
      <c r="J62" s="29">
        <v>20.100000000000001</v>
      </c>
      <c r="K62" s="29">
        <v>10.75</v>
      </c>
      <c r="L62" s="30">
        <v>14.5</v>
      </c>
      <c r="M62" s="22"/>
      <c r="N62" s="31">
        <v>4294.9692940000004</v>
      </c>
      <c r="O62" s="31">
        <v>2987.9784390000009</v>
      </c>
      <c r="P62" s="32">
        <f t="shared" si="15"/>
        <v>7282.9477330000009</v>
      </c>
      <c r="Q62" s="31">
        <v>1072.3406150000003</v>
      </c>
      <c r="R62" s="31">
        <v>372.83747800000003</v>
      </c>
      <c r="S62" s="31">
        <v>1585.8744209999998</v>
      </c>
      <c r="T62" s="31"/>
      <c r="U62" s="32">
        <f t="shared" si="16"/>
        <v>3031.052514</v>
      </c>
      <c r="V62" s="32">
        <f t="shared" si="24"/>
        <v>10314.000247</v>
      </c>
      <c r="W62" s="33">
        <v>7.0736999999999994E-2</v>
      </c>
      <c r="X62" s="32">
        <f t="shared" si="25"/>
        <v>10314.070984</v>
      </c>
      <c r="Z62" s="32">
        <v>20194</v>
      </c>
      <c r="AB62" s="34">
        <v>5461.3988440000021</v>
      </c>
      <c r="AC62" s="34">
        <v>700.03672400000005</v>
      </c>
      <c r="AD62" s="34">
        <v>3871.9898480000006</v>
      </c>
      <c r="AE62" s="34">
        <v>712.08120900000006</v>
      </c>
      <c r="AF62" s="32">
        <f t="shared" si="36"/>
        <v>10745.506625000004</v>
      </c>
      <c r="AH62" s="31">
        <v>2267.4005129999996</v>
      </c>
      <c r="AI62" s="31">
        <v>111.46911599999999</v>
      </c>
      <c r="AJ62" s="31">
        <v>1128.0995230000001</v>
      </c>
      <c r="AK62" s="31">
        <v>260.11810700000007</v>
      </c>
      <c r="AL62" s="31">
        <v>71.456549999999993</v>
      </c>
      <c r="AM62" s="31">
        <v>33.446039000000006</v>
      </c>
      <c r="AN62" s="32">
        <f t="shared" si="37"/>
        <v>1604.5893350000001</v>
      </c>
      <c r="AO62" s="35">
        <f t="shared" si="26"/>
        <v>0.15557390891732059</v>
      </c>
      <c r="AQ62" s="30">
        <v>34.453626033333329</v>
      </c>
      <c r="AR62" s="36">
        <f t="shared" si="18"/>
        <v>31.588815214098776</v>
      </c>
      <c r="AS62" s="36">
        <f t="shared" si="18"/>
        <v>2.8648108192344433</v>
      </c>
      <c r="AT62" s="30">
        <v>81.895338999999993</v>
      </c>
      <c r="AU62" s="30">
        <v>69.069063000000014</v>
      </c>
      <c r="AV62" s="30">
        <v>31.414655</v>
      </c>
      <c r="AW62" s="30">
        <f t="shared" si="27"/>
        <v>40.66325309579365</v>
      </c>
      <c r="AX62" s="7"/>
      <c r="AY62" s="36">
        <v>30.75997834743211</v>
      </c>
      <c r="AZ62" s="36">
        <v>2.8648108192344433</v>
      </c>
      <c r="BA62" s="36">
        <v>0.82883686666666734</v>
      </c>
      <c r="BB62" s="36">
        <v>0</v>
      </c>
      <c r="BC62" s="7"/>
      <c r="BD62" s="32">
        <f t="shared" si="28"/>
        <v>1876.2848260748628</v>
      </c>
      <c r="BE62" s="32">
        <f t="shared" si="29"/>
        <v>953.62090758005536</v>
      </c>
      <c r="BF62" s="7"/>
      <c r="BG62" s="30">
        <v>6.1080927867627066</v>
      </c>
      <c r="BH62" s="36">
        <v>4.5949117103019264</v>
      </c>
      <c r="BI62" s="36">
        <v>22.793172684137822</v>
      </c>
      <c r="BJ62" s="28">
        <v>845.96295347150317</v>
      </c>
      <c r="BK62" s="28">
        <v>1038.75</v>
      </c>
      <c r="BL62" s="28">
        <v>389.88900234414126</v>
      </c>
      <c r="BM62" s="30">
        <f t="shared" si="30"/>
        <v>8.5677520763290804</v>
      </c>
      <c r="BN62" s="7"/>
      <c r="BO62" s="29">
        <f t="shared" si="31"/>
        <v>233.82882739113683</v>
      </c>
      <c r="BP62" s="29">
        <f t="shared" si="22"/>
        <v>153.2741405441754</v>
      </c>
      <c r="BQ62" s="30">
        <f t="shared" si="23"/>
        <v>387.10296793531222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7.0737000000000008E-2</v>
      </c>
      <c r="BY62" s="32">
        <f t="shared" si="9"/>
        <v>7.0737000000000008E-2</v>
      </c>
      <c r="BZ62" s="31">
        <v>638.39890000000003</v>
      </c>
      <c r="CA62" s="31">
        <v>0</v>
      </c>
      <c r="CB62" s="31">
        <v>0</v>
      </c>
      <c r="CC62" s="31">
        <v>3.9459960000000001</v>
      </c>
      <c r="CD62" s="31">
        <v>68.067999999999998</v>
      </c>
      <c r="CE62" s="31">
        <v>1.6683489999999999</v>
      </c>
      <c r="CF62" s="32">
        <f t="shared" si="19"/>
        <v>712.08124500000008</v>
      </c>
      <c r="CG62" s="7"/>
      <c r="CH62" s="31"/>
      <c r="CI62" s="31"/>
      <c r="CJ62" s="31"/>
      <c r="CK62" s="31"/>
      <c r="CL62" s="31"/>
      <c r="CM62" s="32">
        <f t="shared" si="20"/>
        <v>0</v>
      </c>
      <c r="CN62" s="31">
        <v>113.5</v>
      </c>
      <c r="CO62" s="31"/>
      <c r="CP62" s="31">
        <v>120</v>
      </c>
      <c r="CQ62" s="31">
        <v>80</v>
      </c>
      <c r="CR62" s="31"/>
      <c r="CS62" s="32">
        <f t="shared" si="10"/>
        <v>110.06782613688975</v>
      </c>
      <c r="CU62" s="61">
        <v>74.404182797132194</v>
      </c>
      <c r="CV62" s="61">
        <v>6.3218905523672388</v>
      </c>
      <c r="CW62" s="61">
        <v>3.6844766887331448</v>
      </c>
      <c r="CX62" s="62">
        <v>1.1194499617674105</v>
      </c>
      <c r="CY62" s="63">
        <v>85.529999999999987</v>
      </c>
      <c r="DA62" s="32">
        <v>23929.628972222174</v>
      </c>
      <c r="DB62" s="30">
        <v>172.45778128598496</v>
      </c>
      <c r="DD62" s="50">
        <v>5751.1913466600963</v>
      </c>
      <c r="DE62" s="29">
        <f t="shared" si="34"/>
        <v>39.040093314734385</v>
      </c>
      <c r="DF62" s="51">
        <f t="shared" si="32"/>
        <v>0.4564491209486074</v>
      </c>
      <c r="DH62" s="33"/>
      <c r="DI62" s="32"/>
      <c r="DK62" s="50"/>
      <c r="DL62" s="50"/>
      <c r="DN62" s="31"/>
      <c r="DO62" s="31"/>
      <c r="DQ62" s="29"/>
      <c r="DR62" s="29"/>
      <c r="DT62" s="54"/>
      <c r="DU62" s="54"/>
      <c r="DV62" s="51"/>
      <c r="DX62" s="33"/>
      <c r="DY62" s="33"/>
      <c r="DZ62" s="33"/>
      <c r="EA62" s="33"/>
      <c r="EB62" s="33"/>
      <c r="EC62" s="33"/>
      <c r="ED62" s="33"/>
      <c r="EE62" s="32"/>
      <c r="EF62" s="33"/>
      <c r="EG62" s="33"/>
      <c r="EH62" s="33"/>
      <c r="EI62" s="32"/>
      <c r="EJ62" s="33"/>
      <c r="EK62" s="33"/>
      <c r="EL62" s="33"/>
      <c r="EM62" s="33"/>
      <c r="EN62" s="32"/>
      <c r="EO62" s="32"/>
      <c r="EP62" s="70">
        <f t="shared" si="33"/>
        <v>10745.506625000004</v>
      </c>
    </row>
    <row r="63" spans="1:146" x14ac:dyDescent="0.4">
      <c r="A63" s="22">
        <v>2022</v>
      </c>
      <c r="B63" s="37">
        <v>44835</v>
      </c>
      <c r="C63" s="38">
        <f t="shared" si="35"/>
        <v>31</v>
      </c>
      <c r="D63" s="39">
        <v>148.16164516129109</v>
      </c>
      <c r="E63" s="39">
        <v>156.89500000000001</v>
      </c>
      <c r="F63" s="39">
        <v>87.55</v>
      </c>
      <c r="G63" s="39">
        <v>93.33</v>
      </c>
      <c r="H63" s="7"/>
      <c r="I63" s="40">
        <v>18.100000000000001</v>
      </c>
      <c r="J63" s="39">
        <v>26.6</v>
      </c>
      <c r="K63" s="39">
        <v>12.8</v>
      </c>
      <c r="L63" s="40">
        <v>17.399999999999999</v>
      </c>
      <c r="M63" s="22"/>
      <c r="N63" s="41">
        <v>4191.8003219999991</v>
      </c>
      <c r="O63" s="41">
        <v>2975.3515170000001</v>
      </c>
      <c r="P63" s="42">
        <f t="shared" si="15"/>
        <v>7167.1518389999992</v>
      </c>
      <c r="Q63" s="41">
        <v>1080.935346</v>
      </c>
      <c r="R63" s="41">
        <v>363.90702399999992</v>
      </c>
      <c r="S63" s="41">
        <v>1609.304429</v>
      </c>
      <c r="T63" s="41"/>
      <c r="U63" s="42">
        <f t="shared" si="16"/>
        <v>3054.1467990000001</v>
      </c>
      <c r="V63" s="42">
        <f t="shared" si="24"/>
        <v>10221.298638</v>
      </c>
      <c r="W63" s="39">
        <v>1.255701</v>
      </c>
      <c r="X63" s="42">
        <f t="shared" si="25"/>
        <v>10222.554339</v>
      </c>
      <c r="Z63" s="42">
        <v>19630</v>
      </c>
      <c r="AB63" s="41">
        <v>5053.7078409999995</v>
      </c>
      <c r="AC63" s="41">
        <v>67.875944000000004</v>
      </c>
      <c r="AD63" s="41">
        <v>5572.2599389999996</v>
      </c>
      <c r="AE63" s="41">
        <v>66.28837399999999</v>
      </c>
      <c r="AF63" s="42">
        <f t="shared" si="36"/>
        <v>10760.132097999998</v>
      </c>
      <c r="AH63" s="41">
        <v>3749.8475540000004</v>
      </c>
      <c r="AI63" s="41">
        <v>105.42777700000002</v>
      </c>
      <c r="AJ63" s="41">
        <v>1296.6709889999997</v>
      </c>
      <c r="AK63" s="41">
        <v>315.36301000000003</v>
      </c>
      <c r="AL63" s="41">
        <v>70.600249000000005</v>
      </c>
      <c r="AM63" s="41">
        <v>34.350360000000009</v>
      </c>
      <c r="AN63" s="42">
        <f t="shared" si="37"/>
        <v>1822.4123849999999</v>
      </c>
      <c r="AO63" s="43">
        <f t="shared" si="26"/>
        <v>0.1782955815638502</v>
      </c>
      <c r="AQ63" s="40">
        <v>35.216554774193554</v>
      </c>
      <c r="AR63" s="44">
        <f t="shared" si="18"/>
        <v>33.263960788895183</v>
      </c>
      <c r="AS63" s="44">
        <f t="shared" si="18"/>
        <v>1.9525939852984158</v>
      </c>
      <c r="AT63" s="40">
        <v>1.6924330000000001</v>
      </c>
      <c r="AU63" s="40">
        <v>12.047111999999997</v>
      </c>
      <c r="AV63" s="40">
        <v>0</v>
      </c>
      <c r="AW63" s="40">
        <f t="shared" si="27"/>
        <v>35.677192502150547</v>
      </c>
      <c r="AX63" s="7"/>
      <c r="AY63" s="44">
        <v>32.348294401798405</v>
      </c>
      <c r="AZ63" s="44">
        <v>1.9525939852984158</v>
      </c>
      <c r="BA63" s="44">
        <v>0.91566638709677439</v>
      </c>
      <c r="BB63" s="44">
        <v>0</v>
      </c>
      <c r="BC63" s="7"/>
      <c r="BD63" s="38">
        <f t="shared" si="28"/>
        <v>1838.3217273046162</v>
      </c>
      <c r="BE63" s="38">
        <f t="shared" si="29"/>
        <v>863.40398453721684</v>
      </c>
      <c r="BF63" s="7"/>
      <c r="BG63" s="40">
        <v>3.5306737419843071</v>
      </c>
      <c r="BH63" s="44">
        <v>2.9796806164763794</v>
      </c>
      <c r="BI63" s="44">
        <v>12.917271191246282</v>
      </c>
      <c r="BJ63" s="38">
        <v>846.04886876829778</v>
      </c>
      <c r="BK63" s="38">
        <v>1039.6886622114557</v>
      </c>
      <c r="BL63" s="38">
        <v>389.78997665244799</v>
      </c>
      <c r="BM63" s="40">
        <f t="shared" si="30"/>
        <v>3.8258159583340814</v>
      </c>
      <c r="BN63" s="7"/>
      <c r="BO63" s="39">
        <f t="shared" si="31"/>
        <v>142.75863414653017</v>
      </c>
      <c r="BP63" s="39">
        <f t="shared" si="22"/>
        <v>13.957126783907706</v>
      </c>
      <c r="BQ63" s="40">
        <f t="shared" si="23"/>
        <v>156.71576093043788</v>
      </c>
      <c r="BS63" s="41">
        <v>0</v>
      </c>
      <c r="BT63" s="41">
        <v>0</v>
      </c>
      <c r="BU63" s="41">
        <v>0</v>
      </c>
      <c r="BV63" s="41">
        <v>0</v>
      </c>
      <c r="BW63" s="41">
        <v>1.24</v>
      </c>
      <c r="BX63" s="41">
        <v>1.5701E-2</v>
      </c>
      <c r="BY63" s="42">
        <f t="shared" si="9"/>
        <v>1.255701</v>
      </c>
      <c r="BZ63" s="41">
        <v>64.357699999999994</v>
      </c>
      <c r="CA63" s="41">
        <v>0</v>
      </c>
      <c r="CB63" s="41">
        <v>0</v>
      </c>
      <c r="CC63" s="41">
        <v>1.5995760000000001</v>
      </c>
      <c r="CD63" s="41">
        <v>0</v>
      </c>
      <c r="CE63" s="41">
        <v>0.33110500000000004</v>
      </c>
      <c r="CF63" s="42">
        <f t="shared" si="19"/>
        <v>66.288380999999987</v>
      </c>
      <c r="CG63" s="7"/>
      <c r="CH63" s="41"/>
      <c r="CI63" s="41"/>
      <c r="CJ63" s="41"/>
      <c r="CK63" s="41">
        <v>80</v>
      </c>
      <c r="CL63" s="41"/>
      <c r="CM63" s="42">
        <f t="shared" si="20"/>
        <v>78.999698176556365</v>
      </c>
      <c r="CN63" s="41">
        <v>63.5</v>
      </c>
      <c r="CO63" s="41"/>
      <c r="CP63" s="41">
        <v>120</v>
      </c>
      <c r="CQ63" s="41"/>
      <c r="CR63" s="41"/>
      <c r="CS63" s="42">
        <f t="shared" si="10"/>
        <v>64.546199582095696</v>
      </c>
      <c r="CU63" s="64">
        <v>45.913196314351573</v>
      </c>
      <c r="CV63" s="64">
        <v>5.9297995416418701</v>
      </c>
      <c r="CW63" s="64">
        <v>2.6265733268217826</v>
      </c>
      <c r="CX63" s="65">
        <v>1.0704308171847725</v>
      </c>
      <c r="CY63" s="66">
        <v>55.54</v>
      </c>
      <c r="DA63" s="42">
        <v>8391.169408602158</v>
      </c>
      <c r="DB63" s="40">
        <v>56.681486901695777</v>
      </c>
      <c r="DD63" s="42">
        <v>6051.6017554785685</v>
      </c>
      <c r="DE63" s="39">
        <f t="shared" si="34"/>
        <v>38.571030023127364</v>
      </c>
      <c r="DF63" s="55">
        <f t="shared" si="32"/>
        <v>0.69447299285429176</v>
      </c>
      <c r="DH63" s="39"/>
      <c r="DI63" s="42"/>
      <c r="DK63" s="42"/>
      <c r="DL63" s="42"/>
      <c r="DN63" s="41"/>
      <c r="DO63" s="41"/>
      <c r="DQ63" s="39"/>
      <c r="DR63" s="39"/>
      <c r="DT63" s="56"/>
      <c r="DU63" s="56"/>
      <c r="DV63" s="55"/>
      <c r="DX63" s="39"/>
      <c r="DY63" s="39"/>
      <c r="DZ63" s="39"/>
      <c r="EA63" s="39"/>
      <c r="EB63" s="39"/>
      <c r="EC63" s="39"/>
      <c r="ED63" s="39"/>
      <c r="EE63" s="42"/>
      <c r="EF63" s="39"/>
      <c r="EG63" s="39"/>
      <c r="EH63" s="39"/>
      <c r="EI63" s="42"/>
      <c r="EJ63" s="39"/>
      <c r="EK63" s="39"/>
      <c r="EL63" s="39"/>
      <c r="EM63" s="39"/>
      <c r="EN63" s="42"/>
      <c r="EO63" s="39"/>
      <c r="EP63" s="72">
        <f t="shared" si="33"/>
        <v>10760.132097999998</v>
      </c>
    </row>
    <row r="64" spans="1:146" x14ac:dyDescent="0.4">
      <c r="A64" s="26">
        <v>2022</v>
      </c>
      <c r="B64" s="27">
        <v>44866</v>
      </c>
      <c r="C64" s="28">
        <f t="shared" si="35"/>
        <v>30</v>
      </c>
      <c r="D64" s="29">
        <v>157.85900000000115</v>
      </c>
      <c r="E64" s="29">
        <v>167.255</v>
      </c>
      <c r="F64" s="29">
        <v>84.370476199999999</v>
      </c>
      <c r="G64" s="29">
        <v>91.415454499999996</v>
      </c>
      <c r="H64" s="7"/>
      <c r="I64" s="30">
        <v>23</v>
      </c>
      <c r="J64" s="29">
        <v>28.1</v>
      </c>
      <c r="K64" s="29">
        <v>14.6</v>
      </c>
      <c r="L64" s="30">
        <v>20.399999999999999</v>
      </c>
      <c r="M64" s="22"/>
      <c r="N64" s="31">
        <v>4999.8883770000029</v>
      </c>
      <c r="O64" s="31">
        <v>3174.288822</v>
      </c>
      <c r="P64" s="32">
        <f t="shared" si="15"/>
        <v>8174.1771990000034</v>
      </c>
      <c r="Q64" s="31">
        <v>1113.6153620000002</v>
      </c>
      <c r="R64" s="31">
        <v>407.36426099999994</v>
      </c>
      <c r="S64" s="31">
        <v>1628.5563400000001</v>
      </c>
      <c r="T64" s="31"/>
      <c r="U64" s="32">
        <f t="shared" si="16"/>
        <v>3149.5359630000003</v>
      </c>
      <c r="V64" s="32">
        <f t="shared" si="24"/>
        <v>11323.713162000004</v>
      </c>
      <c r="W64" s="33">
        <v>0</v>
      </c>
      <c r="X64" s="32">
        <f t="shared" si="25"/>
        <v>11323.713162000004</v>
      </c>
      <c r="Z64" s="32">
        <v>26610</v>
      </c>
      <c r="AB64" s="34">
        <v>6229.6557420000054</v>
      </c>
      <c r="AC64" s="34">
        <v>34.437239999999996</v>
      </c>
      <c r="AD64" s="34">
        <v>5357.1574229999987</v>
      </c>
      <c r="AE64" s="34">
        <v>270.452067</v>
      </c>
      <c r="AF64" s="32">
        <f t="shared" si="36"/>
        <v>11891.702472000004</v>
      </c>
      <c r="AH64" s="31">
        <v>3693.5808569999999</v>
      </c>
      <c r="AI64" s="31">
        <v>115.81037499999999</v>
      </c>
      <c r="AJ64" s="31">
        <v>1144.8337180000001</v>
      </c>
      <c r="AK64" s="31">
        <v>303.47393</v>
      </c>
      <c r="AL64" s="31">
        <v>66.417412999999996</v>
      </c>
      <c r="AM64" s="31">
        <v>33.041129999999995</v>
      </c>
      <c r="AN64" s="32">
        <f t="shared" si="37"/>
        <v>1663.576566</v>
      </c>
      <c r="AO64" s="35">
        <f t="shared" si="26"/>
        <v>0.14691087121339425</v>
      </c>
      <c r="AQ64" s="30">
        <v>40.279863933333324</v>
      </c>
      <c r="AR64" s="36">
        <f t="shared" si="18"/>
        <v>37.968438513237423</v>
      </c>
      <c r="AS64" s="36">
        <f t="shared" si="18"/>
        <v>2.3114254200959734</v>
      </c>
      <c r="AT64" s="30">
        <v>31.691546000000006</v>
      </c>
      <c r="AU64" s="30">
        <v>161.60905300000007</v>
      </c>
      <c r="AV64" s="30">
        <v>27.759658999999999</v>
      </c>
      <c r="AW64" s="30">
        <f t="shared" si="27"/>
        <v>47.6095662513492</v>
      </c>
      <c r="AX64" s="7"/>
      <c r="AY64" s="36">
        <v>37.051484513237426</v>
      </c>
      <c r="AZ64" s="36">
        <v>2.3114254200959734</v>
      </c>
      <c r="BA64" s="36">
        <v>0.91695399999999871</v>
      </c>
      <c r="BB64" s="36">
        <v>0</v>
      </c>
      <c r="BC64" s="7"/>
      <c r="BD64" s="32">
        <f t="shared" si="28"/>
        <v>1925.8866287671001</v>
      </c>
      <c r="BE64" s="32">
        <f t="shared" si="29"/>
        <v>1008.906060640969</v>
      </c>
      <c r="BF64" s="7"/>
      <c r="BG64" s="30">
        <v>3.4948464140299791</v>
      </c>
      <c r="BH64" s="36">
        <v>3.0113943827085548</v>
      </c>
      <c r="BI64" s="36">
        <v>11.436231226075938</v>
      </c>
      <c r="BJ64" s="28">
        <v>850.66024752417138</v>
      </c>
      <c r="BK64" s="28">
        <v>1039.568566106595</v>
      </c>
      <c r="BL64" s="28">
        <v>389.7899721211482</v>
      </c>
      <c r="BM64" s="30">
        <f t="shared" si="30"/>
        <v>6.8468701482524965</v>
      </c>
      <c r="BN64" s="7"/>
      <c r="BO64" s="29">
        <f t="shared" si="31"/>
        <v>156.41326447225052</v>
      </c>
      <c r="BP64" s="29">
        <f t="shared" si="22"/>
        <v>205.78286656954106</v>
      </c>
      <c r="BQ64" s="30">
        <f t="shared" si="23"/>
        <v>362.19613104179155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2">
        <f t="shared" si="9"/>
        <v>0</v>
      </c>
      <c r="BZ64" s="31">
        <v>264.84540000000004</v>
      </c>
      <c r="CA64" s="31">
        <v>0</v>
      </c>
      <c r="CB64" s="31">
        <v>0</v>
      </c>
      <c r="CC64" s="31">
        <v>2.5926840000000002</v>
      </c>
      <c r="CD64" s="31">
        <v>3.0139999999999998</v>
      </c>
      <c r="CE64" s="31">
        <v>0</v>
      </c>
      <c r="CF64" s="32">
        <f t="shared" si="19"/>
        <v>270.45208400000007</v>
      </c>
      <c r="CG64" s="7"/>
      <c r="CH64" s="31"/>
      <c r="CI64" s="31"/>
      <c r="CJ64" s="31"/>
      <c r="CK64" s="31"/>
      <c r="CL64" s="31"/>
      <c r="CM64" s="32">
        <f t="shared" si="20"/>
        <v>0</v>
      </c>
      <c r="CN64" s="31">
        <v>73.45</v>
      </c>
      <c r="CO64" s="31"/>
      <c r="CP64" s="31">
        <v>120</v>
      </c>
      <c r="CQ64" s="31">
        <v>80</v>
      </c>
      <c r="CR64" s="31"/>
      <c r="CS64" s="32">
        <f t="shared" si="10"/>
        <v>73.969245916404162</v>
      </c>
      <c r="CU64" s="61">
        <v>59.41959900854485</v>
      </c>
      <c r="CV64" s="61">
        <v>4.9404067932906521</v>
      </c>
      <c r="CW64" s="61">
        <v>2.721059718167842</v>
      </c>
      <c r="CX64" s="62">
        <v>0.91893447999665001</v>
      </c>
      <c r="CY64" s="63">
        <v>67.999999999999986</v>
      </c>
      <c r="DA64" s="32">
        <v>19293.510083333378</v>
      </c>
      <c r="DB64" s="30">
        <v>121.00111209499673</v>
      </c>
      <c r="DD64" s="50">
        <v>6340.6777421526231</v>
      </c>
      <c r="DE64" s="29">
        <f t="shared" si="34"/>
        <v>37.910243294087607</v>
      </c>
      <c r="DF64" s="51">
        <f t="shared" si="32"/>
        <v>0.55750357785422966</v>
      </c>
      <c r="DH64" s="33"/>
      <c r="DI64" s="32"/>
      <c r="DK64" s="50"/>
      <c r="DL64" s="50"/>
      <c r="DN64" s="31"/>
      <c r="DO64" s="31"/>
      <c r="DQ64" s="29"/>
      <c r="DR64" s="29"/>
      <c r="DT64" s="54"/>
      <c r="DU64" s="54"/>
      <c r="DV64" s="51"/>
      <c r="DX64" s="33"/>
      <c r="DY64" s="33"/>
      <c r="DZ64" s="33"/>
      <c r="EA64" s="33"/>
      <c r="EB64" s="33"/>
      <c r="EC64" s="33"/>
      <c r="ED64" s="33"/>
      <c r="EE64" s="32"/>
      <c r="EF64" s="33"/>
      <c r="EG64" s="33"/>
      <c r="EH64" s="33"/>
      <c r="EI64" s="32"/>
      <c r="EJ64" s="33"/>
      <c r="EK64" s="33"/>
      <c r="EL64" s="33"/>
      <c r="EM64" s="33"/>
      <c r="EN64" s="32"/>
      <c r="EO64" s="32"/>
      <c r="EP64" s="70">
        <f t="shared" si="33"/>
        <v>11891.702472000004</v>
      </c>
    </row>
    <row r="65" spans="1:146" x14ac:dyDescent="0.4">
      <c r="A65" s="22">
        <v>2022</v>
      </c>
      <c r="B65" s="37">
        <v>44896</v>
      </c>
      <c r="C65" s="38">
        <f t="shared" si="35"/>
        <v>31</v>
      </c>
      <c r="D65" s="39">
        <v>167.49848387096583</v>
      </c>
      <c r="E65" s="39">
        <v>177.1283</v>
      </c>
      <c r="F65" s="39">
        <v>76.44</v>
      </c>
      <c r="G65" s="39">
        <v>80.92</v>
      </c>
      <c r="H65" s="7"/>
      <c r="I65" s="40">
        <v>25.13225806451613</v>
      </c>
      <c r="J65" s="39">
        <v>30.950000000000003</v>
      </c>
      <c r="K65" s="39">
        <v>18.5</v>
      </c>
      <c r="L65" s="40">
        <v>23.1</v>
      </c>
      <c r="M65" s="22"/>
      <c r="N65" s="41">
        <v>6321.3885480000026</v>
      </c>
      <c r="O65" s="41">
        <v>3540.5180340000002</v>
      </c>
      <c r="P65" s="42">
        <f t="shared" si="15"/>
        <v>9861.9065820000033</v>
      </c>
      <c r="Q65" s="41">
        <v>1172.4929259999999</v>
      </c>
      <c r="R65" s="41">
        <v>407.47957500000007</v>
      </c>
      <c r="S65" s="41">
        <v>1585.533013</v>
      </c>
      <c r="T65" s="41"/>
      <c r="U65" s="42">
        <f t="shared" si="16"/>
        <v>3165.5055139999999</v>
      </c>
      <c r="V65" s="42">
        <f t="shared" si="24"/>
        <v>13027.412096000004</v>
      </c>
      <c r="W65" s="39">
        <v>0</v>
      </c>
      <c r="X65" s="42">
        <f t="shared" si="25"/>
        <v>13027.412096000004</v>
      </c>
      <c r="Z65" s="42">
        <v>28283</v>
      </c>
      <c r="AB65" s="41">
        <v>7757.2857640000038</v>
      </c>
      <c r="AC65" s="41">
        <v>393.35423800000001</v>
      </c>
      <c r="AD65" s="41">
        <v>4621.9342730000026</v>
      </c>
      <c r="AE65" s="41">
        <v>880.13684799999999</v>
      </c>
      <c r="AF65" s="42">
        <f t="shared" si="36"/>
        <v>13652.711123000006</v>
      </c>
      <c r="AH65" s="41">
        <v>2881.0352809999995</v>
      </c>
      <c r="AI65" s="41">
        <v>110.06131900000001</v>
      </c>
      <c r="AJ65" s="41">
        <v>1232.2636420000001</v>
      </c>
      <c r="AK65" s="41">
        <v>299.91874299999989</v>
      </c>
      <c r="AL65" s="41">
        <v>65.59325800000002</v>
      </c>
      <c r="AM65" s="41">
        <v>33.062030000000007</v>
      </c>
      <c r="AN65" s="42">
        <f t="shared" si="37"/>
        <v>1740.8989920000001</v>
      </c>
      <c r="AO65" s="43">
        <f t="shared" si="26"/>
        <v>0.13363352438467296</v>
      </c>
      <c r="AQ65" s="40">
        <v>48.435456999999964</v>
      </c>
      <c r="AR65" s="44">
        <f t="shared" si="18"/>
        <v>44.485318370374834</v>
      </c>
      <c r="AS65" s="44">
        <f t="shared" si="18"/>
        <v>3.9501386296249659</v>
      </c>
      <c r="AT65" s="40">
        <v>74.48141600000001</v>
      </c>
      <c r="AU65" s="40">
        <v>198.10775500000003</v>
      </c>
      <c r="AV65" s="40">
        <v>80.791900999999996</v>
      </c>
      <c r="AW65" s="40">
        <f t="shared" si="27"/>
        <v>59.441442714669705</v>
      </c>
      <c r="AX65" s="7"/>
      <c r="AY65" s="44">
        <v>43.553821434890963</v>
      </c>
      <c r="AZ65" s="44">
        <v>3.9501386296249659</v>
      </c>
      <c r="BA65" s="44">
        <v>0.93149693548387169</v>
      </c>
      <c r="BB65" s="44">
        <v>0</v>
      </c>
      <c r="BC65" s="7"/>
      <c r="BD65" s="38">
        <f t="shared" si="28"/>
        <v>1995.3566432646871</v>
      </c>
      <c r="BE65" s="38">
        <f t="shared" si="29"/>
        <v>1133.734651194962</v>
      </c>
      <c r="BF65" s="7"/>
      <c r="BG65" s="40">
        <v>3.909735221046954</v>
      </c>
      <c r="BH65" s="44">
        <v>3.0132630736232056</v>
      </c>
      <c r="BI65" s="44">
        <v>14.005545172938698</v>
      </c>
      <c r="BJ65" s="38">
        <v>738.64087820702593</v>
      </c>
      <c r="BK65" s="38">
        <v>1036.3020399402258</v>
      </c>
      <c r="BL65" s="38">
        <v>371.58299008744666</v>
      </c>
      <c r="BM65" s="40">
        <f t="shared" si="30"/>
        <v>7.4399702787881248</v>
      </c>
      <c r="BN65" s="7"/>
      <c r="BO65" s="39">
        <f t="shared" si="31"/>
        <v>217.42459917009472</v>
      </c>
      <c r="BP65" s="39">
        <f t="shared" si="22"/>
        <v>290.33538530725031</v>
      </c>
      <c r="BQ65" s="40">
        <f t="shared" si="23"/>
        <v>507.75998447734503</v>
      </c>
      <c r="BS65" s="41">
        <v>0</v>
      </c>
      <c r="BT65" s="41">
        <v>0</v>
      </c>
      <c r="BU65" s="41">
        <v>0</v>
      </c>
      <c r="BV65" s="41">
        <v>0</v>
      </c>
      <c r="BW65" s="41">
        <v>0</v>
      </c>
      <c r="BX65" s="41">
        <v>0</v>
      </c>
      <c r="BY65" s="42">
        <f t="shared" si="9"/>
        <v>0</v>
      </c>
      <c r="BZ65" s="41">
        <v>851.29700000000003</v>
      </c>
      <c r="CA65" s="41">
        <v>0.59</v>
      </c>
      <c r="CB65" s="41">
        <v>5.9457180000000003</v>
      </c>
      <c r="CC65" s="41">
        <v>12.455556</v>
      </c>
      <c r="CD65" s="41">
        <v>9.8485779999999998</v>
      </c>
      <c r="CE65" s="41">
        <v>0</v>
      </c>
      <c r="CF65" s="42">
        <f t="shared" si="19"/>
        <v>880.13685200000009</v>
      </c>
      <c r="CG65" s="7"/>
      <c r="CH65" s="41"/>
      <c r="CI65" s="41"/>
      <c r="CJ65" s="41"/>
      <c r="CK65" s="41"/>
      <c r="CL65" s="41"/>
      <c r="CM65" s="42">
        <f t="shared" si="20"/>
        <v>0</v>
      </c>
      <c r="CN65" s="41">
        <v>83.636600445895311</v>
      </c>
      <c r="CO65" s="41">
        <v>22.732618481141962</v>
      </c>
      <c r="CP65" s="41">
        <v>120</v>
      </c>
      <c r="CQ65" s="41">
        <v>95.090491033324824</v>
      </c>
      <c r="CR65" s="41"/>
      <c r="CS65" s="42">
        <f t="shared" si="10"/>
        <v>83.811877049638412</v>
      </c>
      <c r="CU65" s="64">
        <v>68.607669273198994</v>
      </c>
      <c r="CV65" s="64">
        <v>7.158160948185488</v>
      </c>
      <c r="CW65" s="64">
        <v>2.8557248052474926</v>
      </c>
      <c r="CX65" s="65">
        <v>0.81844497336801758</v>
      </c>
      <c r="CY65" s="66">
        <v>79.439999999999984</v>
      </c>
      <c r="DA65" s="42">
        <v>30896.378548387122</v>
      </c>
      <c r="DB65" s="40">
        <v>184.77992623592988</v>
      </c>
      <c r="DD65" s="42">
        <v>6132.0124322368001</v>
      </c>
      <c r="DE65" s="39">
        <f t="shared" si="34"/>
        <v>34.619044117946146</v>
      </c>
      <c r="DF65" s="55">
        <f t="shared" si="32"/>
        <v>0.43578857147464944</v>
      </c>
      <c r="DH65" s="39"/>
      <c r="DI65" s="42"/>
      <c r="DK65" s="42"/>
      <c r="DL65" s="42"/>
      <c r="DN65" s="41"/>
      <c r="DO65" s="41"/>
      <c r="DQ65" s="39"/>
      <c r="DR65" s="39"/>
      <c r="DT65" s="56"/>
      <c r="DU65" s="56"/>
      <c r="DV65" s="55"/>
      <c r="DX65" s="39"/>
      <c r="DY65" s="39"/>
      <c r="DZ65" s="39"/>
      <c r="EA65" s="39"/>
      <c r="EB65" s="39"/>
      <c r="EC65" s="39"/>
      <c r="ED65" s="39"/>
      <c r="EE65" s="42"/>
      <c r="EF65" s="39"/>
      <c r="EG65" s="39"/>
      <c r="EH65" s="39"/>
      <c r="EI65" s="42"/>
      <c r="EJ65" s="39"/>
      <c r="EK65" s="39"/>
      <c r="EL65" s="39"/>
      <c r="EM65" s="39"/>
      <c r="EN65" s="42"/>
      <c r="EO65" s="39"/>
      <c r="EP65" s="72">
        <f t="shared" si="33"/>
        <v>13652.711123000006</v>
      </c>
    </row>
    <row r="66" spans="1:146" x14ac:dyDescent="0.4">
      <c r="A66" s="26">
        <v>2023</v>
      </c>
      <c r="B66" s="27">
        <v>44927</v>
      </c>
      <c r="C66" s="28">
        <f t="shared" si="35"/>
        <v>31</v>
      </c>
      <c r="D66" s="29">
        <v>178.0719032258084</v>
      </c>
      <c r="E66" s="29">
        <v>186.875</v>
      </c>
      <c r="F66" s="29">
        <v>78.12</v>
      </c>
      <c r="G66" s="29">
        <v>82.5</v>
      </c>
      <c r="H66" s="7"/>
      <c r="I66" s="30">
        <v>26.856451612903225</v>
      </c>
      <c r="J66" s="29">
        <v>30.95</v>
      </c>
      <c r="K66" s="29">
        <v>23.5</v>
      </c>
      <c r="L66" s="30">
        <v>24.6</v>
      </c>
      <c r="M66" s="22"/>
      <c r="N66" s="31">
        <v>6817.4090839999999</v>
      </c>
      <c r="O66" s="31">
        <v>3648.7376619999995</v>
      </c>
      <c r="P66" s="32">
        <f t="shared" si="15"/>
        <v>10466.146745999999</v>
      </c>
      <c r="Q66" s="31">
        <v>1183.0832129999997</v>
      </c>
      <c r="R66" s="31">
        <v>417.96295899999996</v>
      </c>
      <c r="S66" s="31">
        <v>1526.2897489999993</v>
      </c>
      <c r="T66" s="31">
        <v>0</v>
      </c>
      <c r="U66" s="32">
        <f t="shared" si="16"/>
        <v>3127.335920999999</v>
      </c>
      <c r="V66" s="32">
        <f t="shared" si="24"/>
        <v>13593.482666999997</v>
      </c>
      <c r="W66" s="33">
        <v>0</v>
      </c>
      <c r="X66" s="32">
        <f t="shared" si="25"/>
        <v>13593.482666999997</v>
      </c>
      <c r="Z66" s="32">
        <v>27420</v>
      </c>
      <c r="AB66" s="34">
        <v>8453.5912070000013</v>
      </c>
      <c r="AC66" s="34">
        <v>632.80191500000001</v>
      </c>
      <c r="AD66" s="34">
        <v>4277.734923</v>
      </c>
      <c r="AE66" s="34">
        <v>874.683987</v>
      </c>
      <c r="AF66" s="32">
        <f t="shared" si="36"/>
        <v>14238.812032000002</v>
      </c>
      <c r="AH66" s="31">
        <v>2635.360572</v>
      </c>
      <c r="AI66" s="31">
        <v>98.524276000000015</v>
      </c>
      <c r="AJ66" s="31">
        <v>1146.4373159999998</v>
      </c>
      <c r="AK66" s="31">
        <v>305.64177400000005</v>
      </c>
      <c r="AL66" s="31">
        <v>60.035663000000007</v>
      </c>
      <c r="AM66" s="31">
        <v>31.735322</v>
      </c>
      <c r="AN66" s="32">
        <f t="shared" si="37"/>
        <v>1642.3743509999999</v>
      </c>
      <c r="AO66" s="35">
        <f t="shared" si="26"/>
        <v>0.12082071910733252</v>
      </c>
      <c r="AQ66" s="30">
        <v>50.505782741935469</v>
      </c>
      <c r="AR66" s="36">
        <f t="shared" si="18"/>
        <v>45.754634562473242</v>
      </c>
      <c r="AS66" s="36">
        <f t="shared" si="18"/>
        <v>4.7511481794622545</v>
      </c>
      <c r="AT66" s="30">
        <v>126.15704000000004</v>
      </c>
      <c r="AU66" s="30">
        <v>223.44419200000002</v>
      </c>
      <c r="AV66" s="30">
        <v>95.219107000000008</v>
      </c>
      <c r="AW66" s="30">
        <f t="shared" si="27"/>
        <v>64.590549781720412</v>
      </c>
      <c r="AX66" s="7"/>
      <c r="AY66" s="36">
        <v>44.80828553021518</v>
      </c>
      <c r="AZ66" s="36">
        <v>4.7511481794622545</v>
      </c>
      <c r="BA66" s="36">
        <v>0.94634903225806455</v>
      </c>
      <c r="BB66" s="36">
        <v>0</v>
      </c>
      <c r="BC66" s="7"/>
      <c r="BD66" s="32">
        <f t="shared" si="28"/>
        <v>1989.6134969517689</v>
      </c>
      <c r="BE66" s="32">
        <f t="shared" si="29"/>
        <v>1181.2347213630242</v>
      </c>
      <c r="BF66" s="7"/>
      <c r="BG66" s="30">
        <v>3.5268140031473041</v>
      </c>
      <c r="BH66" s="36">
        <v>3.0951816056796972</v>
      </c>
      <c r="BI66" s="36">
        <v>7.6835318880627845</v>
      </c>
      <c r="BJ66" s="28">
        <v>678.86651492087537</v>
      </c>
      <c r="BK66" s="28">
        <v>962.97898206147136</v>
      </c>
      <c r="BL66" s="28">
        <v>340.5599828810075</v>
      </c>
      <c r="BM66" s="30">
        <f t="shared" si="30"/>
        <v>7.2513547028957177</v>
      </c>
      <c r="BN66" s="7"/>
      <c r="BO66" s="29">
        <f t="shared" si="31"/>
        <v>204.51331689775469</v>
      </c>
      <c r="BP66" s="29">
        <f t="shared" si="22"/>
        <v>333.2436680871063</v>
      </c>
      <c r="BQ66" s="30">
        <f t="shared" si="23"/>
        <v>537.75698498486099</v>
      </c>
      <c r="BS66" s="31">
        <v>0</v>
      </c>
      <c r="BT66" s="31">
        <v>0</v>
      </c>
      <c r="BU66" s="31">
        <v>0</v>
      </c>
      <c r="BV66" s="31">
        <v>0</v>
      </c>
      <c r="BW66" s="31">
        <v>0</v>
      </c>
      <c r="BX66" s="31">
        <v>0</v>
      </c>
      <c r="BY66" s="32">
        <f t="shared" si="9"/>
        <v>0</v>
      </c>
      <c r="BZ66" s="31">
        <v>840.31819999999993</v>
      </c>
      <c r="CA66" s="31">
        <v>0</v>
      </c>
      <c r="CB66" s="31">
        <v>9.5846979999999995</v>
      </c>
      <c r="CC66" s="31">
        <v>11.433041999999999</v>
      </c>
      <c r="CD66" s="31">
        <v>13.348000000000001</v>
      </c>
      <c r="CE66" s="31">
        <v>0</v>
      </c>
      <c r="CF66" s="32">
        <f t="shared" si="19"/>
        <v>874.68393999999989</v>
      </c>
      <c r="CG66" s="7"/>
      <c r="CH66" s="31"/>
      <c r="CI66" s="31"/>
      <c r="CJ66" s="31"/>
      <c r="CK66" s="31"/>
      <c r="CL66" s="31"/>
      <c r="CM66" s="32">
        <f t="shared" si="20"/>
        <v>0</v>
      </c>
      <c r="CN66" s="31">
        <v>63.510619975886371</v>
      </c>
      <c r="CO66" s="31">
        <v>21.530000214925913</v>
      </c>
      <c r="CP66" s="31">
        <v>120</v>
      </c>
      <c r="CQ66" s="31">
        <v>80</v>
      </c>
      <c r="CR66" s="31"/>
      <c r="CS66" s="32">
        <f t="shared" si="10"/>
        <v>64.040610427831652</v>
      </c>
      <c r="CU66" s="61">
        <v>74.452624003090932</v>
      </c>
      <c r="CV66" s="61">
        <v>6.2888441761056271</v>
      </c>
      <c r="CW66" s="61">
        <v>3.1371725555537289</v>
      </c>
      <c r="CX66" s="62">
        <v>1.1313592652496842</v>
      </c>
      <c r="CY66" s="63">
        <v>85.009999999999977</v>
      </c>
      <c r="DA66" s="32">
        <v>35139.074059139894</v>
      </c>
      <c r="DB66" s="30">
        <v>197.25184792661543</v>
      </c>
      <c r="DD66" s="50">
        <v>6116.139400613285</v>
      </c>
      <c r="DE66" s="29">
        <f t="shared" si="34"/>
        <v>32.728505153783466</v>
      </c>
      <c r="DF66" s="51">
        <f t="shared" si="32"/>
        <v>0.38499594346292759</v>
      </c>
      <c r="DH66" s="33"/>
      <c r="DI66" s="32"/>
      <c r="DK66" s="50"/>
      <c r="DL66" s="50"/>
      <c r="DN66" s="31"/>
      <c r="DO66" s="31"/>
      <c r="DQ66" s="29"/>
      <c r="DR66" s="29"/>
      <c r="DT66" s="54"/>
      <c r="DU66" s="54"/>
      <c r="DV66" s="51"/>
      <c r="DX66" s="33"/>
      <c r="DY66" s="33"/>
      <c r="DZ66" s="33"/>
      <c r="EA66" s="33"/>
      <c r="EB66" s="33"/>
      <c r="EC66" s="33"/>
      <c r="ED66" s="33"/>
      <c r="EE66" s="32"/>
      <c r="EF66" s="33"/>
      <c r="EG66" s="33"/>
      <c r="EH66" s="33"/>
      <c r="EI66" s="32"/>
      <c r="EJ66" s="33"/>
      <c r="EK66" s="33"/>
      <c r="EL66" s="33"/>
      <c r="EM66" s="33"/>
      <c r="EN66" s="32"/>
      <c r="EO66" s="32"/>
      <c r="EP66" s="70">
        <f t="shared" si="33"/>
        <v>14238.812032000002</v>
      </c>
    </row>
    <row r="67" spans="1:146" x14ac:dyDescent="0.4">
      <c r="A67" s="22">
        <v>2023</v>
      </c>
      <c r="B67" s="37">
        <v>44958</v>
      </c>
      <c r="C67" s="38">
        <f t="shared" si="35"/>
        <v>28</v>
      </c>
      <c r="D67" s="39">
        <v>187.49164285714301</v>
      </c>
      <c r="E67" s="39">
        <v>197.1533</v>
      </c>
      <c r="F67" s="39">
        <v>76.832631578947371</v>
      </c>
      <c r="G67" s="39">
        <v>82.585000000000008</v>
      </c>
      <c r="H67" s="7"/>
      <c r="I67" s="40">
        <v>25.612500000000001</v>
      </c>
      <c r="J67" s="39">
        <v>33.299999999999997</v>
      </c>
      <c r="K67" s="39">
        <v>12.5</v>
      </c>
      <c r="L67" s="40">
        <v>23.6</v>
      </c>
      <c r="M67" s="22"/>
      <c r="N67" s="41">
        <v>5684.5629149999968</v>
      </c>
      <c r="O67" s="41">
        <v>3270.3081870000005</v>
      </c>
      <c r="P67" s="42">
        <f t="shared" si="15"/>
        <v>8954.8711019999973</v>
      </c>
      <c r="Q67" s="41">
        <v>1139.2376520000005</v>
      </c>
      <c r="R67" s="41">
        <v>428.20140799999996</v>
      </c>
      <c r="S67" s="41">
        <v>1383.9658090000016</v>
      </c>
      <c r="T67" s="41">
        <v>0</v>
      </c>
      <c r="U67" s="42">
        <f t="shared" si="16"/>
        <v>2951.4048690000018</v>
      </c>
      <c r="V67" s="42">
        <f t="shared" si="24"/>
        <v>11906.275970999999</v>
      </c>
      <c r="W67" s="39">
        <v>8.5510000000000002</v>
      </c>
      <c r="X67" s="42">
        <f t="shared" si="25"/>
        <v>11914.826970999999</v>
      </c>
      <c r="Z67" s="42">
        <v>28207</v>
      </c>
      <c r="AB67" s="41">
        <v>6910.5586900000008</v>
      </c>
      <c r="AC67" s="41">
        <v>621.71885999999995</v>
      </c>
      <c r="AD67" s="41">
        <v>4176.3858319999999</v>
      </c>
      <c r="AE67" s="41">
        <v>770.59480599999995</v>
      </c>
      <c r="AF67" s="42">
        <f t="shared" si="36"/>
        <v>12479.258188</v>
      </c>
      <c r="AH67" s="41">
        <v>2652.4624709999998</v>
      </c>
      <c r="AI67" s="41">
        <v>89.782286000000028</v>
      </c>
      <c r="AJ67" s="41">
        <v>1082.2077019999999</v>
      </c>
      <c r="AK67" s="41">
        <v>272.82043499999997</v>
      </c>
      <c r="AL67" s="41">
        <v>51.356010999999995</v>
      </c>
      <c r="AM67" s="41">
        <v>27.756927000000005</v>
      </c>
      <c r="AN67" s="42">
        <f t="shared" si="37"/>
        <v>1523.9233609999999</v>
      </c>
      <c r="AO67" s="43">
        <f t="shared" si="26"/>
        <v>0.12799328393796727</v>
      </c>
      <c r="AQ67" s="40">
        <v>46.205075964285712</v>
      </c>
      <c r="AR67" s="44">
        <f t="shared" si="18"/>
        <v>43.224323948909387</v>
      </c>
      <c r="AS67" s="44">
        <f t="shared" si="18"/>
        <v>2.9807520153763867</v>
      </c>
      <c r="AT67" s="40">
        <v>82.142723000000004</v>
      </c>
      <c r="AU67" s="40">
        <v>180.11902700000016</v>
      </c>
      <c r="AV67" s="40">
        <v>61.266042999999996</v>
      </c>
      <c r="AW67" s="40">
        <f t="shared" si="27"/>
        <v>57.604976343792515</v>
      </c>
      <c r="AX67" s="7"/>
      <c r="AY67" s="44">
        <v>42.236095020337956</v>
      </c>
      <c r="AZ67" s="44">
        <v>2.9807520153763867</v>
      </c>
      <c r="BA67" s="44">
        <v>0.98822892857142863</v>
      </c>
      <c r="BB67" s="44">
        <v>0</v>
      </c>
      <c r="BC67" s="7"/>
      <c r="BD67" s="38">
        <f t="shared" si="28"/>
        <v>1960.5781592833848</v>
      </c>
      <c r="BE67" s="38">
        <f t="shared" si="29"/>
        <v>1085.6967803653877</v>
      </c>
      <c r="BF67" s="7"/>
      <c r="BG67" s="40">
        <v>3.3891547365103651</v>
      </c>
      <c r="BH67" s="44">
        <v>3.1437024189564062</v>
      </c>
      <c r="BI67" s="44">
        <v>6.9484949410067536</v>
      </c>
      <c r="BJ67" s="38">
        <v>645.14148004556205</v>
      </c>
      <c r="BK67" s="38">
        <v>959.87925659612813</v>
      </c>
      <c r="BL67" s="38">
        <v>284.24999615199363</v>
      </c>
      <c r="BM67" s="40">
        <f t="shared" si="30"/>
        <v>6.7912170291152112</v>
      </c>
      <c r="BN67" s="7"/>
      <c r="BO67" s="39">
        <f t="shared" si="31"/>
        <v>162.39600953870536</v>
      </c>
      <c r="BP67" s="39">
        <f t="shared" si="22"/>
        <v>243.30106811376859</v>
      </c>
      <c r="BQ67" s="40">
        <f t="shared" si="23"/>
        <v>405.69707765247392</v>
      </c>
      <c r="BS67" s="41">
        <v>0</v>
      </c>
      <c r="BT67" s="41">
        <v>0</v>
      </c>
      <c r="BU67" s="41">
        <v>0</v>
      </c>
      <c r="BV67" s="41">
        <v>0</v>
      </c>
      <c r="BW67" s="41">
        <v>8.5510000000000002</v>
      </c>
      <c r="BX67" s="41">
        <v>0</v>
      </c>
      <c r="BY67" s="42">
        <f t="shared" si="9"/>
        <v>8.5510000000000002</v>
      </c>
      <c r="BZ67" s="41">
        <v>727.51330000000007</v>
      </c>
      <c r="CA67" s="41">
        <v>0</v>
      </c>
      <c r="CB67" s="41">
        <v>6.9875489999999996</v>
      </c>
      <c r="CC67" s="41">
        <v>8.4889200000000002</v>
      </c>
      <c r="CD67" s="41">
        <v>27.605</v>
      </c>
      <c r="CE67" s="41">
        <v>0</v>
      </c>
      <c r="CF67" s="42">
        <f t="shared" si="19"/>
        <v>770.59476900000004</v>
      </c>
      <c r="CG67" s="7"/>
      <c r="CH67" s="41"/>
      <c r="CI67" s="41"/>
      <c r="CJ67" s="41"/>
      <c r="CK67" s="41">
        <v>102.27107940591745</v>
      </c>
      <c r="CL67" s="41"/>
      <c r="CM67" s="42">
        <f t="shared" si="20"/>
        <v>102.27107940591745</v>
      </c>
      <c r="CN67" s="41">
        <v>30.499999999999993</v>
      </c>
      <c r="CO67" s="41">
        <v>23.143000499889162</v>
      </c>
      <c r="CP67" s="41">
        <v>120</v>
      </c>
      <c r="CQ67" s="41">
        <v>80</v>
      </c>
      <c r="CR67" s="41"/>
      <c r="CS67" s="42">
        <f t="shared" si="10"/>
        <v>33.192463703319007</v>
      </c>
      <c r="CU67" s="64">
        <v>68.513250485141938</v>
      </c>
      <c r="CV67" s="64">
        <v>7.8002308867532397</v>
      </c>
      <c r="CW67" s="64">
        <v>3.0607087688478973</v>
      </c>
      <c r="CX67" s="65">
        <v>1.1258098592569095</v>
      </c>
      <c r="CY67" s="66">
        <v>80.499999999999986</v>
      </c>
      <c r="DA67" s="42">
        <v>26719.015654761875</v>
      </c>
      <c r="DB67" s="40">
        <v>142.8884223570127</v>
      </c>
      <c r="DD67" s="42">
        <v>7615.9508100322673</v>
      </c>
      <c r="DE67" s="39">
        <f t="shared" si="34"/>
        <v>38.629588295160502</v>
      </c>
      <c r="DF67" s="55">
        <f t="shared" si="32"/>
        <v>0.47987066205168333</v>
      </c>
      <c r="DH67" s="39"/>
      <c r="DI67" s="42"/>
      <c r="DK67" s="42"/>
      <c r="DL67" s="42"/>
      <c r="DN67" s="41"/>
      <c r="DO67" s="41"/>
      <c r="DQ67" s="39"/>
      <c r="DR67" s="39"/>
      <c r="DT67" s="56"/>
      <c r="DU67" s="56"/>
      <c r="DV67" s="55"/>
      <c r="DX67" s="39"/>
      <c r="DY67" s="39"/>
      <c r="DZ67" s="39"/>
      <c r="EA67" s="39"/>
      <c r="EB67" s="39"/>
      <c r="EC67" s="39"/>
      <c r="ED67" s="39"/>
      <c r="EE67" s="42"/>
      <c r="EF67" s="39"/>
      <c r="EG67" s="39"/>
      <c r="EH67" s="39"/>
      <c r="EI67" s="42"/>
      <c r="EJ67" s="39"/>
      <c r="EK67" s="39"/>
      <c r="EL67" s="39"/>
      <c r="EM67" s="39"/>
      <c r="EN67" s="42"/>
      <c r="EO67" s="39"/>
      <c r="EP67" s="72">
        <f t="shared" si="33"/>
        <v>12479.258188</v>
      </c>
    </row>
    <row r="68" spans="1:146" x14ac:dyDescent="0.4">
      <c r="A68" s="26">
        <v>2023</v>
      </c>
      <c r="B68" s="27">
        <v>44986</v>
      </c>
      <c r="C68" s="28">
        <f t="shared" si="35"/>
        <v>31</v>
      </c>
      <c r="D68" s="29">
        <v>197.6553225806463</v>
      </c>
      <c r="E68" s="29">
        <v>208.98830000000001</v>
      </c>
      <c r="F68" s="29">
        <v>73.28</v>
      </c>
      <c r="G68" s="29">
        <v>78.430000000000007</v>
      </c>
      <c r="H68" s="7"/>
      <c r="I68" s="30">
        <v>27.070967741935483</v>
      </c>
      <c r="J68" s="29">
        <v>32.299999999999997</v>
      </c>
      <c r="K68" s="29">
        <v>19.350000000000001</v>
      </c>
      <c r="L68" s="30">
        <v>21.6</v>
      </c>
      <c r="M68" s="22"/>
      <c r="N68" s="31">
        <v>6927.3763519999975</v>
      </c>
      <c r="O68" s="31">
        <v>3735.0527329999982</v>
      </c>
      <c r="P68" s="32">
        <f t="shared" si="15"/>
        <v>10662.429084999996</v>
      </c>
      <c r="Q68" s="31">
        <v>1281.5171089999999</v>
      </c>
      <c r="R68" s="31">
        <v>446.32565299999999</v>
      </c>
      <c r="S68" s="31">
        <v>1606.632834</v>
      </c>
      <c r="T68" s="31">
        <v>0</v>
      </c>
      <c r="U68" s="32">
        <f t="shared" si="16"/>
        <v>3334.4755959999998</v>
      </c>
      <c r="V68" s="32">
        <f t="shared" si="24"/>
        <v>13996.904680999996</v>
      </c>
      <c r="W68" s="33">
        <v>0.52688199999999996</v>
      </c>
      <c r="X68" s="32">
        <f t="shared" si="25"/>
        <v>13997.431562999996</v>
      </c>
      <c r="Z68" s="32">
        <v>29105</v>
      </c>
      <c r="AB68" s="34">
        <v>8053.4231770000006</v>
      </c>
      <c r="AC68" s="34">
        <v>634.41806299999996</v>
      </c>
      <c r="AD68" s="34">
        <v>4868.2694869999996</v>
      </c>
      <c r="AE68" s="34">
        <v>1064.3769129999998</v>
      </c>
      <c r="AF68" s="32">
        <f t="shared" si="36"/>
        <v>14620.487639999999</v>
      </c>
      <c r="AH68" s="31">
        <v>3314.4683560000003</v>
      </c>
      <c r="AI68" s="31">
        <v>101.58035399999997</v>
      </c>
      <c r="AJ68" s="31">
        <v>1099.8878199999999</v>
      </c>
      <c r="AK68" s="31">
        <v>269.19999799999994</v>
      </c>
      <c r="AL68" s="31">
        <v>52.61244700000001</v>
      </c>
      <c r="AM68" s="31">
        <v>30.520511999999997</v>
      </c>
      <c r="AN68" s="32">
        <f t="shared" si="37"/>
        <v>1553.8011309999997</v>
      </c>
      <c r="AO68" s="35">
        <f t="shared" si="26"/>
        <v>0.11101033881506649</v>
      </c>
      <c r="AQ68" s="30">
        <v>44.501796967741946</v>
      </c>
      <c r="AR68" s="36">
        <f t="shared" si="18"/>
        <v>41.653040028033907</v>
      </c>
      <c r="AS68" s="36">
        <f t="shared" si="18"/>
        <v>2.8487569397081063</v>
      </c>
      <c r="AT68" s="30">
        <v>102.876243</v>
      </c>
      <c r="AU68" s="30">
        <v>296.23857599999985</v>
      </c>
      <c r="AV68" s="30">
        <v>101.762171</v>
      </c>
      <c r="AW68" s="30">
        <f t="shared" si="27"/>
        <v>60.244615273732727</v>
      </c>
      <c r="AX68" s="7"/>
      <c r="AY68" s="36">
        <v>40.723343899001648</v>
      </c>
      <c r="AZ68" s="36">
        <v>2.8487569397081063</v>
      </c>
      <c r="BA68" s="36">
        <v>0.92969612903225807</v>
      </c>
      <c r="BB68" s="36">
        <v>0</v>
      </c>
      <c r="BC68" s="7"/>
      <c r="BD68" s="32">
        <f t="shared" si="28"/>
        <v>1947.95399080517</v>
      </c>
      <c r="BE68" s="32">
        <f t="shared" si="29"/>
        <v>1072.9941574835191</v>
      </c>
      <c r="BF68" s="7"/>
      <c r="BG68" s="30">
        <v>3.8016308690945086</v>
      </c>
      <c r="BH68" s="36">
        <v>3.0866479134135552</v>
      </c>
      <c r="BI68" s="36">
        <v>14.255739205691317</v>
      </c>
      <c r="BJ68" s="28">
        <v>612.11840409522779</v>
      </c>
      <c r="BK68" s="28">
        <v>889.03796122448989</v>
      </c>
      <c r="BL68" s="28">
        <v>276.62400209373021</v>
      </c>
      <c r="BM68" s="30">
        <f t="shared" si="30"/>
        <v>7.9331313593768131</v>
      </c>
      <c r="BN68" s="7"/>
      <c r="BO68" s="29">
        <f t="shared" si="31"/>
        <v>194.24302065055815</v>
      </c>
      <c r="BP68" s="29">
        <f t="shared" si="22"/>
        <v>354.48964033132535</v>
      </c>
      <c r="BQ68" s="30">
        <f t="shared" si="23"/>
        <v>548.73266098188355</v>
      </c>
      <c r="BS68" s="31">
        <v>0</v>
      </c>
      <c r="BT68" s="31">
        <v>0</v>
      </c>
      <c r="BU68" s="31">
        <v>0</v>
      </c>
      <c r="BV68" s="31">
        <v>7.7999999999999999E-5</v>
      </c>
      <c r="BW68" s="31">
        <v>0.51</v>
      </c>
      <c r="BX68" s="31">
        <v>1.6804000000000003E-2</v>
      </c>
      <c r="BY68" s="32">
        <f t="shared" si="9"/>
        <v>0.52688200000000007</v>
      </c>
      <c r="BZ68" s="31">
        <v>972.24890000000005</v>
      </c>
      <c r="CA68" s="31">
        <v>0</v>
      </c>
      <c r="CB68" s="31">
        <v>10.237638</v>
      </c>
      <c r="CC68" s="31">
        <v>9.792174000000001</v>
      </c>
      <c r="CD68" s="31">
        <v>45.82</v>
      </c>
      <c r="CE68" s="31">
        <v>26.278205999999997</v>
      </c>
      <c r="CF68" s="32">
        <f t="shared" si="19"/>
        <v>1064.3769179999999</v>
      </c>
      <c r="CG68" s="7"/>
      <c r="CH68" s="31"/>
      <c r="CI68" s="31"/>
      <c r="CJ68" s="31"/>
      <c r="CK68" s="31">
        <v>92.59999999999998</v>
      </c>
      <c r="CL68" s="31">
        <v>74</v>
      </c>
      <c r="CM68" s="32">
        <f t="shared" si="20"/>
        <v>91.993076248571754</v>
      </c>
      <c r="CN68" s="31">
        <v>59.310995329941726</v>
      </c>
      <c r="CO68" s="31">
        <v>23.667000142024946</v>
      </c>
      <c r="CP68" s="31">
        <v>120</v>
      </c>
      <c r="CQ68" s="31">
        <v>112.04758261021388</v>
      </c>
      <c r="CR68" s="31">
        <v>74.095350119994876</v>
      </c>
      <c r="CS68" s="32">
        <f t="shared" si="10"/>
        <v>62.161737085636737</v>
      </c>
      <c r="CU68" s="61">
        <v>71.111594331751945</v>
      </c>
      <c r="CV68" s="61">
        <v>5.3909280109399722</v>
      </c>
      <c r="CW68" s="61">
        <v>2.9976688748695852</v>
      </c>
      <c r="CX68" s="62">
        <v>1.0298087824384972</v>
      </c>
      <c r="CY68" s="63">
        <v>80.53</v>
      </c>
      <c r="DA68" s="32">
        <v>38116.154341397712</v>
      </c>
      <c r="DB68" s="30">
        <v>193.06487311213442</v>
      </c>
      <c r="DD68" s="50">
        <v>7455.4405016511819</v>
      </c>
      <c r="DE68" s="29">
        <f t="shared" si="34"/>
        <v>35.673961181803868</v>
      </c>
      <c r="DF68" s="51">
        <f t="shared" si="32"/>
        <v>0.442989707957331</v>
      </c>
      <c r="DH68" s="33"/>
      <c r="DI68" s="32"/>
      <c r="DK68" s="50"/>
      <c r="DL68" s="50"/>
      <c r="DN68" s="31"/>
      <c r="DO68" s="31"/>
      <c r="DQ68" s="29"/>
      <c r="DR68" s="29"/>
      <c r="DT68" s="54"/>
      <c r="DU68" s="54"/>
      <c r="DV68" s="51"/>
      <c r="DX68" s="33"/>
      <c r="DY68" s="33"/>
      <c r="DZ68" s="33"/>
      <c r="EA68" s="33"/>
      <c r="EB68" s="33"/>
      <c r="EC68" s="33"/>
      <c r="ED68" s="33"/>
      <c r="EE68" s="32"/>
      <c r="EF68" s="33"/>
      <c r="EG68" s="33"/>
      <c r="EH68" s="33"/>
      <c r="EI68" s="32"/>
      <c r="EJ68" s="33"/>
      <c r="EK68" s="33"/>
      <c r="EL68" s="33"/>
      <c r="EM68" s="33"/>
      <c r="EN68" s="32"/>
      <c r="EO68" s="32"/>
      <c r="EP68" s="70">
        <f t="shared" si="33"/>
        <v>14620.487639999999</v>
      </c>
    </row>
    <row r="69" spans="1:146" x14ac:dyDescent="0.4">
      <c r="A69" s="22">
        <v>2023</v>
      </c>
      <c r="B69" s="37">
        <v>45017</v>
      </c>
      <c r="C69" s="38">
        <f t="shared" si="35"/>
        <v>30</v>
      </c>
      <c r="D69" s="39">
        <v>209.63033333333286</v>
      </c>
      <c r="E69" s="39">
        <v>222.57499999999999</v>
      </c>
      <c r="F69" s="39">
        <v>79.446315789473672</v>
      </c>
      <c r="G69" s="39">
        <v>84.638333333333321</v>
      </c>
      <c r="H69" s="7"/>
      <c r="I69" s="40">
        <v>19.100000000000001</v>
      </c>
      <c r="J69" s="39">
        <v>23.8</v>
      </c>
      <c r="K69" s="39">
        <v>14</v>
      </c>
      <c r="L69" s="40">
        <v>17.899999999999999</v>
      </c>
      <c r="M69" s="22"/>
      <c r="N69" s="41">
        <v>3985.9542780000002</v>
      </c>
      <c r="O69" s="41">
        <v>3044.4113930000008</v>
      </c>
      <c r="P69" s="42">
        <f t="shared" si="15"/>
        <v>7030.3656710000014</v>
      </c>
      <c r="Q69" s="41">
        <v>1085.5573939999997</v>
      </c>
      <c r="R69" s="41">
        <v>397.765242</v>
      </c>
      <c r="S69" s="41">
        <v>1531.2829019999992</v>
      </c>
      <c r="T69" s="41">
        <v>1.2412690000000004</v>
      </c>
      <c r="U69" s="42">
        <f t="shared" si="16"/>
        <v>3014.6055379999989</v>
      </c>
      <c r="V69" s="42">
        <f t="shared" si="24"/>
        <v>10044.971208999999</v>
      </c>
      <c r="W69" s="39">
        <v>5.599583</v>
      </c>
      <c r="X69" s="42">
        <f t="shared" si="25"/>
        <v>10050.570791999999</v>
      </c>
      <c r="Z69" s="42">
        <v>19984</v>
      </c>
      <c r="AB69" s="41">
        <v>5107.4613870000003</v>
      </c>
      <c r="AC69" s="41">
        <v>669.65313600000002</v>
      </c>
      <c r="AD69" s="41">
        <v>3773.5873550000006</v>
      </c>
      <c r="AE69" s="41">
        <v>960.83311800000001</v>
      </c>
      <c r="AF69" s="42">
        <f t="shared" si="36"/>
        <v>10511.534996</v>
      </c>
      <c r="AH69" s="41">
        <v>2285.4035859999994</v>
      </c>
      <c r="AI69" s="41">
        <v>95.956523000000004</v>
      </c>
      <c r="AJ69" s="41">
        <v>1067.7109219999998</v>
      </c>
      <c r="AK69" s="41">
        <v>237.741187</v>
      </c>
      <c r="AL69" s="41">
        <v>54.683571999999998</v>
      </c>
      <c r="AM69" s="41">
        <v>32.091565000000003</v>
      </c>
      <c r="AN69" s="42">
        <f t="shared" si="37"/>
        <v>1488.1837689999998</v>
      </c>
      <c r="AO69" s="43">
        <f t="shared" si="26"/>
        <v>0.148152118909672</v>
      </c>
      <c r="AQ69" s="40">
        <v>33.133287500000009</v>
      </c>
      <c r="AR69" s="44">
        <f t="shared" si="18"/>
        <v>31.265376426028851</v>
      </c>
      <c r="AS69" s="44">
        <f t="shared" si="18"/>
        <v>1.8679110739710416</v>
      </c>
      <c r="AT69" s="40">
        <v>69.41215600000001</v>
      </c>
      <c r="AU69" s="40">
        <v>34.105907999999985</v>
      </c>
      <c r="AV69" s="40">
        <v>58.227313000000002</v>
      </c>
      <c r="AW69" s="40">
        <f t="shared" si="27"/>
        <v>38.241602220793659</v>
      </c>
      <c r="AX69" s="7"/>
      <c r="AY69" s="44">
        <v>30.326972092695517</v>
      </c>
      <c r="AZ69" s="44">
        <v>1.8679110739710416</v>
      </c>
      <c r="BA69" s="44">
        <v>0.93840433333333328</v>
      </c>
      <c r="BB69" s="44">
        <v>0</v>
      </c>
      <c r="BC69" s="7"/>
      <c r="BD69" s="38">
        <f t="shared" si="28"/>
        <v>1886.8245943412753</v>
      </c>
      <c r="BE69" s="38">
        <f t="shared" si="29"/>
        <v>916.791292927928</v>
      </c>
      <c r="BF69" s="7"/>
      <c r="BG69" s="40">
        <v>3.8245808634108376</v>
      </c>
      <c r="BH69" s="44">
        <v>3.317309561866443</v>
      </c>
      <c r="BI69" s="44">
        <v>12.315364184904963</v>
      </c>
      <c r="BJ69" s="38">
        <v>578.00758884958691</v>
      </c>
      <c r="BK69" s="38">
        <v>803.29734974226528</v>
      </c>
      <c r="BL69" s="38">
        <v>253.18799473506681</v>
      </c>
      <c r="BM69" s="40">
        <f t="shared" si="30"/>
        <v>5.2496569495409728</v>
      </c>
      <c r="BN69" s="7"/>
      <c r="BO69" s="39">
        <f t="shared" si="31"/>
        <v>140.80104146043283</v>
      </c>
      <c r="BP69" s="39">
        <f t="shared" si="22"/>
        <v>82.260395050645997</v>
      </c>
      <c r="BQ69" s="40">
        <f t="shared" si="23"/>
        <v>223.06143651107882</v>
      </c>
      <c r="BS69" s="41">
        <v>0</v>
      </c>
      <c r="BT69" s="41">
        <v>0</v>
      </c>
      <c r="BU69" s="41">
        <v>0</v>
      </c>
      <c r="BV69" s="41">
        <v>0</v>
      </c>
      <c r="BW69" s="41">
        <v>5.569</v>
      </c>
      <c r="BX69" s="41">
        <v>3.0583000000000003E-2</v>
      </c>
      <c r="BY69" s="42">
        <f t="shared" si="9"/>
        <v>5.599583</v>
      </c>
      <c r="BZ69" s="41">
        <v>895.19330000000002</v>
      </c>
      <c r="CA69" s="41">
        <v>0</v>
      </c>
      <c r="CB69" s="41">
        <v>7.9668970000000003</v>
      </c>
      <c r="CC69" s="41">
        <v>7.9858979999999997</v>
      </c>
      <c r="CD69" s="41">
        <v>10.736000000000001</v>
      </c>
      <c r="CE69" s="41">
        <v>38.951022999999999</v>
      </c>
      <c r="CF69" s="42">
        <f t="shared" si="19"/>
        <v>960.83311800000001</v>
      </c>
      <c r="CG69" s="7"/>
      <c r="CH69" s="41"/>
      <c r="CI69" s="41"/>
      <c r="CJ69" s="41"/>
      <c r="CK69" s="41">
        <v>140</v>
      </c>
      <c r="CL69" s="41">
        <v>74.21909688995845</v>
      </c>
      <c r="CM69" s="42">
        <f t="shared" si="20"/>
        <v>139.64072728990456</v>
      </c>
      <c r="CN69" s="41">
        <v>75.295653479321132</v>
      </c>
      <c r="CO69" s="41">
        <v>24.700000514629473</v>
      </c>
      <c r="CP69" s="41">
        <v>120</v>
      </c>
      <c r="CQ69" s="41">
        <v>80.612723546944849</v>
      </c>
      <c r="CR69" s="41">
        <v>74.21909688995845</v>
      </c>
      <c r="CS69" s="42">
        <f t="shared" si="10"/>
        <v>75.263457544361998</v>
      </c>
      <c r="CU69" s="64">
        <v>64.223372661809563</v>
      </c>
      <c r="CV69" s="64">
        <v>7.5563581538962294</v>
      </c>
      <c r="CW69" s="64">
        <v>2.9701458144851327</v>
      </c>
      <c r="CX69" s="65">
        <v>1.2701233698090715</v>
      </c>
      <c r="CY69" s="66">
        <v>76.02</v>
      </c>
      <c r="DA69" s="42">
        <v>26632.702513888904</v>
      </c>
      <c r="DB69" s="40">
        <v>126.52774165221204</v>
      </c>
      <c r="DD69" s="42">
        <v>8048.9401525653793</v>
      </c>
      <c r="DE69" s="39">
        <f t="shared" si="34"/>
        <v>36.162822206291722</v>
      </c>
      <c r="DF69" s="55">
        <f t="shared" si="32"/>
        <v>0.47570142339241939</v>
      </c>
      <c r="DH69" s="39"/>
      <c r="DI69" s="42"/>
      <c r="DK69" s="42"/>
      <c r="DL69" s="42"/>
      <c r="DN69" s="41"/>
      <c r="DO69" s="41"/>
      <c r="DQ69" s="39"/>
      <c r="DR69" s="39"/>
      <c r="DT69" s="56"/>
      <c r="DU69" s="56"/>
      <c r="DV69" s="55"/>
      <c r="DX69" s="39"/>
      <c r="DY69" s="39"/>
      <c r="DZ69" s="39"/>
      <c r="EA69" s="39"/>
      <c r="EB69" s="39"/>
      <c r="EC69" s="39"/>
      <c r="ED69" s="39"/>
      <c r="EE69" s="42"/>
      <c r="EF69" s="39"/>
      <c r="EG69" s="39"/>
      <c r="EH69" s="39"/>
      <c r="EI69" s="42"/>
      <c r="EJ69" s="39"/>
      <c r="EK69" s="39"/>
      <c r="EL69" s="39"/>
      <c r="EM69" s="39"/>
      <c r="EN69" s="42"/>
      <c r="EO69" s="39"/>
      <c r="EP69" s="72">
        <f t="shared" si="33"/>
        <v>10511.534996</v>
      </c>
    </row>
    <row r="70" spans="1:146" x14ac:dyDescent="0.4">
      <c r="A70" s="26">
        <v>2023</v>
      </c>
      <c r="B70" s="27">
        <v>45047</v>
      </c>
      <c r="C70" s="28">
        <f t="shared" si="35"/>
        <v>31</v>
      </c>
      <c r="D70" s="29">
        <v>224.92141935483889</v>
      </c>
      <c r="E70" s="29">
        <v>239.32499999999999</v>
      </c>
      <c r="F70" s="29">
        <v>71.58</v>
      </c>
      <c r="G70" s="29">
        <v>75.47</v>
      </c>
      <c r="H70" s="7"/>
      <c r="I70" s="30">
        <v>16.399999999999999</v>
      </c>
      <c r="J70" s="29">
        <v>20.7</v>
      </c>
      <c r="K70" s="29">
        <v>9.5</v>
      </c>
      <c r="L70" s="30">
        <v>14.6</v>
      </c>
      <c r="M70" s="22"/>
      <c r="N70" s="31">
        <v>4656.3831540000001</v>
      </c>
      <c r="O70" s="31">
        <v>3076.0889340000022</v>
      </c>
      <c r="P70" s="32">
        <f t="shared" si="15"/>
        <v>7732.4720880000023</v>
      </c>
      <c r="Q70" s="31">
        <v>1087.8260350000005</v>
      </c>
      <c r="R70" s="31">
        <v>392.49844400000006</v>
      </c>
      <c r="S70" s="31">
        <v>1602.4927289999998</v>
      </c>
      <c r="T70" s="31">
        <v>0.18042800000000001</v>
      </c>
      <c r="U70" s="32">
        <f t="shared" si="16"/>
        <v>3082.8172080000004</v>
      </c>
      <c r="V70" s="32">
        <f t="shared" ref="V70:V100" si="38">N70+O70+U70</f>
        <v>10815.289296000003</v>
      </c>
      <c r="W70" s="33">
        <v>2.6448170000000002</v>
      </c>
      <c r="X70" s="32">
        <f t="shared" ref="X70:X101" si="39">V70+W70</f>
        <v>10817.934113000003</v>
      </c>
      <c r="Z70" s="32">
        <v>21837</v>
      </c>
      <c r="AB70" s="34">
        <v>6491.7987860000003</v>
      </c>
      <c r="AC70" s="34">
        <v>679.91121499999997</v>
      </c>
      <c r="AD70" s="34">
        <v>3550.3959220000002</v>
      </c>
      <c r="AE70" s="34">
        <v>526.95274500000005</v>
      </c>
      <c r="AF70" s="32">
        <f t="shared" si="36"/>
        <v>11249.058668000001</v>
      </c>
      <c r="AH70" s="31">
        <v>2056.8261040000002</v>
      </c>
      <c r="AI70" s="31">
        <v>55.762298999999985</v>
      </c>
      <c r="AJ70" s="31">
        <v>1163.0453879999995</v>
      </c>
      <c r="AK70" s="31">
        <v>181.11933699999997</v>
      </c>
      <c r="AL70" s="31">
        <v>58.673401999999996</v>
      </c>
      <c r="AM70" s="31">
        <v>34.969391999999999</v>
      </c>
      <c r="AN70" s="32">
        <f t="shared" si="37"/>
        <v>1493.5698179999995</v>
      </c>
      <c r="AO70" s="35">
        <f t="shared" ref="AO70:AO100" si="40">AN70/V70</f>
        <v>0.13809799970421421</v>
      </c>
      <c r="AQ70" s="30">
        <v>43.450741935483862</v>
      </c>
      <c r="AR70" s="36">
        <f t="shared" si="18"/>
        <v>30.763663879604863</v>
      </c>
      <c r="AS70" s="36">
        <f t="shared" si="18"/>
        <v>12.687078055878988</v>
      </c>
      <c r="AT70" s="30">
        <v>27.193020000000001</v>
      </c>
      <c r="AU70" s="30">
        <v>28.616043999999999</v>
      </c>
      <c r="AV70" s="30">
        <v>12.967283999999999</v>
      </c>
      <c r="AW70" s="30">
        <f t="shared" ref="AW70:AW101" si="41">+AQ70+(AT70*9800+AU70*8580+AV70*5400)/8400/C70</f>
        <v>45.685920841474648</v>
      </c>
      <c r="AX70" s="7"/>
      <c r="AY70" s="36">
        <v>29.770102911862928</v>
      </c>
      <c r="AZ70" s="36">
        <v>12.687078055878988</v>
      </c>
      <c r="BA70" s="36">
        <v>0.99356096774193559</v>
      </c>
      <c r="BB70" s="36">
        <v>0</v>
      </c>
      <c r="BC70" s="7"/>
      <c r="BD70" s="32">
        <f t="shared" ref="BD70:BD100" si="42">+(AW70*C70*8400)/AB70</f>
        <v>1832.5604627142548</v>
      </c>
      <c r="BE70" s="32">
        <f t="shared" ref="BE70:BE100" si="43">+(AW70*C70*8400)/AF70</f>
        <v>1057.5652717468781</v>
      </c>
      <c r="BF70" s="7"/>
      <c r="BG70" s="30">
        <v>9.3453941799719136</v>
      </c>
      <c r="BH70" s="36">
        <v>4.9861238661452036</v>
      </c>
      <c r="BI70" s="36">
        <v>19.915765553446789</v>
      </c>
      <c r="BJ70" s="28">
        <v>596.89652262148866</v>
      </c>
      <c r="BK70" s="28">
        <v>790.06818571182282</v>
      </c>
      <c r="BL70" s="28">
        <v>253.18800470420615</v>
      </c>
      <c r="BM70" s="30">
        <f t="shared" ref="BM70:BM77" si="44">+BQ70/(AW70*C70)*1000*0.027</f>
        <v>9.691219003310918</v>
      </c>
      <c r="BN70" s="7"/>
      <c r="BO70" s="29">
        <f t="shared" ref="BO70:BO100" si="45">+BG70/0.027*AQ70*C70/1000</f>
        <v>466.22198647330765</v>
      </c>
      <c r="BP70" s="29">
        <f t="shared" si="22"/>
        <v>42.123205805299058</v>
      </c>
      <c r="BQ70" s="30">
        <f t="shared" si="23"/>
        <v>508.3451922786067</v>
      </c>
      <c r="BS70" s="31">
        <v>0</v>
      </c>
      <c r="BT70" s="31">
        <v>0</v>
      </c>
      <c r="BU70" s="31">
        <v>0</v>
      </c>
      <c r="BV70" s="31">
        <v>0</v>
      </c>
      <c r="BW70" s="31">
        <v>2.6259999999999999</v>
      </c>
      <c r="BX70" s="31">
        <v>1.8817E-2</v>
      </c>
      <c r="BY70" s="32">
        <f t="shared" ref="BY70:BY99" si="46">+BS70+BU70+BV70+BW70+BX70+BT70</f>
        <v>2.6448169999999998</v>
      </c>
      <c r="BZ70" s="31">
        <v>512.98209999999995</v>
      </c>
      <c r="CA70" s="31">
        <v>0</v>
      </c>
      <c r="CB70" s="31">
        <v>3.332074</v>
      </c>
      <c r="CC70" s="31">
        <v>9.5589959999999987</v>
      </c>
      <c r="CD70" s="31">
        <v>0.95599999999999996</v>
      </c>
      <c r="CE70" s="31">
        <v>0.123617</v>
      </c>
      <c r="CF70" s="32">
        <f t="shared" si="19"/>
        <v>526.95278699999994</v>
      </c>
      <c r="CG70" s="7"/>
      <c r="CH70" s="31"/>
      <c r="CI70" s="31"/>
      <c r="CJ70" s="31"/>
      <c r="CK70" s="31">
        <v>167.73229246001523</v>
      </c>
      <c r="CL70" s="31">
        <v>44.068714211348265</v>
      </c>
      <c r="CM70" s="32">
        <f t="shared" si="20"/>
        <v>166.85246691748992</v>
      </c>
      <c r="CN70" s="31">
        <v>67.06</v>
      </c>
      <c r="CO70" s="31">
        <v>21.359999807927437</v>
      </c>
      <c r="CP70" s="31">
        <v>120</v>
      </c>
      <c r="CQ70" s="31">
        <v>80</v>
      </c>
      <c r="CR70" s="31">
        <v>70.559146395722266</v>
      </c>
      <c r="CS70" s="32">
        <f t="shared" ref="CS70:CS100" si="47">IFERROR((CN70*BZ70+CO70*CB70+CP70*CC70+CQ70*CD70+CR70*CE70)/CF70,0)</f>
        <v>67.75566129798267</v>
      </c>
      <c r="CU70" s="61">
        <v>81.554216773044729</v>
      </c>
      <c r="CV70" s="61">
        <v>6.9702660581652234</v>
      </c>
      <c r="CW70" s="61">
        <v>2.8590738404941827</v>
      </c>
      <c r="CX70" s="62">
        <v>1.1264433282958726</v>
      </c>
      <c r="CY70" s="63">
        <v>92.51</v>
      </c>
      <c r="DA70" s="32">
        <v>36474.388293010692</v>
      </c>
      <c r="DB70" s="30">
        <v>161.91258176914684</v>
      </c>
      <c r="DD70" s="50">
        <v>11384.773450541339</v>
      </c>
      <c r="DE70" s="29">
        <f t="shared" si="34"/>
        <v>47.570347646678535</v>
      </c>
      <c r="DF70" s="51">
        <f t="shared" ref="DF70:DF99" si="48">+DE70/CY70</f>
        <v>0.51421843743031603</v>
      </c>
      <c r="DH70" s="33"/>
      <c r="DI70" s="32"/>
      <c r="DK70" s="50"/>
      <c r="DL70" s="50"/>
      <c r="DN70" s="31"/>
      <c r="DO70" s="31"/>
      <c r="DQ70" s="29"/>
      <c r="DR70" s="29"/>
      <c r="DT70" s="54"/>
      <c r="DU70" s="54"/>
      <c r="DV70" s="51"/>
      <c r="DX70" s="33"/>
      <c r="DY70" s="33"/>
      <c r="DZ70" s="33"/>
      <c r="EA70" s="33"/>
      <c r="EB70" s="33"/>
      <c r="EC70" s="33"/>
      <c r="ED70" s="33"/>
      <c r="EE70" s="32"/>
      <c r="EF70" s="33"/>
      <c r="EG70" s="33"/>
      <c r="EH70" s="33"/>
      <c r="EI70" s="32"/>
      <c r="EJ70" s="33"/>
      <c r="EK70" s="33"/>
      <c r="EL70" s="33"/>
      <c r="EM70" s="33"/>
      <c r="EN70" s="32"/>
      <c r="EO70" s="32"/>
      <c r="EP70" s="70">
        <f t="shared" ref="EP70:EP99" si="49">AF70</f>
        <v>11249.058668000001</v>
      </c>
    </row>
    <row r="71" spans="1:146" x14ac:dyDescent="0.4">
      <c r="A71" s="22">
        <v>2023</v>
      </c>
      <c r="B71" s="37">
        <v>45078</v>
      </c>
      <c r="C71" s="38">
        <f t="shared" si="35"/>
        <v>30</v>
      </c>
      <c r="D71" s="39">
        <v>239.56459999999885</v>
      </c>
      <c r="E71" s="39">
        <v>256.67500000000001</v>
      </c>
      <c r="F71" s="39">
        <v>70.25</v>
      </c>
      <c r="G71" s="39">
        <v>74.84</v>
      </c>
      <c r="H71" s="7"/>
      <c r="I71" s="40">
        <v>13.186666666666666</v>
      </c>
      <c r="J71" s="39">
        <v>21.75</v>
      </c>
      <c r="K71" s="39">
        <v>7.15</v>
      </c>
      <c r="L71" s="40">
        <v>11.6</v>
      </c>
      <c r="M71" s="22"/>
      <c r="N71" s="41">
        <v>5835.7743930000006</v>
      </c>
      <c r="O71" s="41">
        <v>3118.5769020000002</v>
      </c>
      <c r="P71" s="42">
        <f t="shared" ref="P71:P101" si="50">+SUM(N71:O71)</f>
        <v>8954.3512950000004</v>
      </c>
      <c r="Q71" s="41">
        <v>1078.5039279999999</v>
      </c>
      <c r="R71" s="41">
        <v>400.13028300000008</v>
      </c>
      <c r="S71" s="41">
        <v>1638.6089330000009</v>
      </c>
      <c r="T71" s="41">
        <v>0.18679700000000002</v>
      </c>
      <c r="U71" s="42">
        <f t="shared" ref="U71:U100" si="51">+SUM(Q71:S71)</f>
        <v>3117.2431440000009</v>
      </c>
      <c r="V71" s="42">
        <f t="shared" si="38"/>
        <v>12071.594439</v>
      </c>
      <c r="W71" s="39">
        <v>9.0300000000000005E-4</v>
      </c>
      <c r="X71" s="42">
        <f t="shared" si="39"/>
        <v>12071.595342000001</v>
      </c>
      <c r="Z71" s="42">
        <v>24935</v>
      </c>
      <c r="AB71" s="41">
        <v>7277.903405</v>
      </c>
      <c r="AC71" s="41">
        <v>680.76745299999993</v>
      </c>
      <c r="AD71" s="41">
        <v>3814.7691210000003</v>
      </c>
      <c r="AE71" s="41">
        <v>786.977397</v>
      </c>
      <c r="AF71" s="42">
        <f t="shared" si="36"/>
        <v>12560.417375999999</v>
      </c>
      <c r="AH71" s="41">
        <v>2247.0035480000001</v>
      </c>
      <c r="AI71" s="41">
        <v>49.897254000000011</v>
      </c>
      <c r="AJ71" s="41">
        <v>1245.996048</v>
      </c>
      <c r="AK71" s="41">
        <v>178.49965399999999</v>
      </c>
      <c r="AL71" s="41">
        <v>57.147077999999993</v>
      </c>
      <c r="AM71" s="41">
        <v>36.225538999999998</v>
      </c>
      <c r="AN71" s="42">
        <f t="shared" si="37"/>
        <v>1567.7655729999999</v>
      </c>
      <c r="AO71" s="43">
        <f t="shared" si="40"/>
        <v>0.12987228662478759</v>
      </c>
      <c r="AQ71" s="40">
        <v>40.169572766666668</v>
      </c>
      <c r="AR71" s="44">
        <f t="shared" ref="AR71:AS77" si="52">AY71+BA71</f>
        <v>28.031654768277502</v>
      </c>
      <c r="AS71" s="44">
        <f t="shared" si="52"/>
        <v>12.125681728831122</v>
      </c>
      <c r="AT71" s="40">
        <v>152.42068600000002</v>
      </c>
      <c r="AU71" s="40">
        <v>197.66353200000009</v>
      </c>
      <c r="AV71" s="40">
        <v>48.701789999999995</v>
      </c>
      <c r="AW71" s="40">
        <f t="shared" si="41"/>
        <v>53.870626311746037</v>
      </c>
      <c r="AX71" s="7"/>
      <c r="AY71" s="44">
        <v>26.979393101610835</v>
      </c>
      <c r="AZ71" s="44">
        <v>12.125681728831122</v>
      </c>
      <c r="BA71" s="44">
        <v>1.0522616666666667</v>
      </c>
      <c r="BB71" s="44">
        <v>0</v>
      </c>
      <c r="BC71" s="7"/>
      <c r="BD71" s="38">
        <f t="shared" si="42"/>
        <v>1865.2896411394458</v>
      </c>
      <c r="BE71" s="38">
        <f t="shared" si="43"/>
        <v>1080.8078604536972</v>
      </c>
      <c r="BF71" s="7"/>
      <c r="BG71" s="40">
        <v>10.035920699106841</v>
      </c>
      <c r="BH71" s="44">
        <v>5.0125684402136326</v>
      </c>
      <c r="BI71" s="44">
        <v>21.658828316463918</v>
      </c>
      <c r="BJ71" s="38">
        <v>584.07686726057148</v>
      </c>
      <c r="BK71" s="38">
        <v>735.23764890306813</v>
      </c>
      <c r="BL71" s="38">
        <v>253.187995915209</v>
      </c>
      <c r="BM71" s="40">
        <f t="shared" si="44"/>
        <v>11.604762891114055</v>
      </c>
      <c r="BN71" s="7"/>
      <c r="BO71" s="39">
        <f t="shared" si="45"/>
        <v>447.93182978140942</v>
      </c>
      <c r="BP71" s="39">
        <f t="shared" si="22"/>
        <v>246.68577593372703</v>
      </c>
      <c r="BQ71" s="40">
        <f t="shared" si="23"/>
        <v>694.61760571513651</v>
      </c>
      <c r="BS71" s="41">
        <v>0</v>
      </c>
      <c r="BT71" s="41">
        <v>0</v>
      </c>
      <c r="BU71" s="41">
        <v>0</v>
      </c>
      <c r="BV71" s="41">
        <v>0</v>
      </c>
      <c r="BW71" s="41">
        <v>0</v>
      </c>
      <c r="BX71" s="41">
        <v>9.0300000000000005E-4</v>
      </c>
      <c r="BY71" s="42">
        <f t="shared" si="46"/>
        <v>9.0300000000000005E-4</v>
      </c>
      <c r="BZ71" s="41">
        <v>774.20080000000007</v>
      </c>
      <c r="CA71" s="41">
        <v>0</v>
      </c>
      <c r="CB71" s="41">
        <v>0</v>
      </c>
      <c r="CC71" s="41">
        <v>12.658056</v>
      </c>
      <c r="CD71" s="41">
        <v>0.10199999999999999</v>
      </c>
      <c r="CE71" s="41">
        <v>1.6500000000000001E-2</v>
      </c>
      <c r="CF71" s="42">
        <f t="shared" ref="CF71:CF98" si="53">SUM(BZ71:CE71)</f>
        <v>786.97735599999999</v>
      </c>
      <c r="CG71" s="7"/>
      <c r="CH71" s="41"/>
      <c r="CI71" s="41"/>
      <c r="CJ71" s="41"/>
      <c r="CK71" s="41">
        <v>124.12326147426982</v>
      </c>
      <c r="CL71" s="41">
        <v>65.593916311711368</v>
      </c>
      <c r="CM71" s="42">
        <f t="shared" ref="CM71:CM98" si="54">IFERROR((CH71*BS71+CI71*BU71+CJ71*BV71+CK71*BW71+CL71*BX71)/BY71,0)</f>
        <v>65.593916311711368</v>
      </c>
      <c r="CN71" s="41">
        <v>92</v>
      </c>
      <c r="CO71" s="41"/>
      <c r="CP71" s="41">
        <v>120</v>
      </c>
      <c r="CQ71" s="41">
        <v>80</v>
      </c>
      <c r="CR71" s="41"/>
      <c r="CS71" s="42">
        <f t="shared" si="47"/>
        <v>92.44687889088388</v>
      </c>
      <c r="CU71" s="64">
        <v>91.910519710650817</v>
      </c>
      <c r="CV71" s="64">
        <v>7.1099970940085671</v>
      </c>
      <c r="CW71" s="64">
        <v>4.5540159178710757</v>
      </c>
      <c r="CX71" s="65">
        <v>0.93418801530696527</v>
      </c>
      <c r="CY71" s="66">
        <v>104.50872073783742</v>
      </c>
      <c r="DA71" s="42">
        <v>37060.760374999925</v>
      </c>
      <c r="DB71" s="40">
        <v>154.78157718468478</v>
      </c>
      <c r="DD71" s="42">
        <v>10669.224088627125</v>
      </c>
      <c r="DE71" s="39">
        <f t="shared" ref="DE71:DE100" si="55">+DD71/E71</f>
        <v>41.567055960366709</v>
      </c>
      <c r="DF71" s="55">
        <f t="shared" si="48"/>
        <v>0.39773767841478647</v>
      </c>
      <c r="DH71" s="39"/>
      <c r="DI71" s="42"/>
      <c r="DK71" s="42"/>
      <c r="DL71" s="42"/>
      <c r="DN71" s="41"/>
      <c r="DO71" s="41"/>
      <c r="DQ71" s="39"/>
      <c r="DR71" s="39"/>
      <c r="DT71" s="56"/>
      <c r="DU71" s="56"/>
      <c r="DV71" s="55"/>
      <c r="DX71" s="39"/>
      <c r="DY71" s="39"/>
      <c r="DZ71" s="39"/>
      <c r="EA71" s="39"/>
      <c r="EB71" s="39"/>
      <c r="EC71" s="39"/>
      <c r="ED71" s="39"/>
      <c r="EE71" s="42"/>
      <c r="EF71" s="39"/>
      <c r="EG71" s="39"/>
      <c r="EH71" s="39"/>
      <c r="EI71" s="42"/>
      <c r="EJ71" s="39"/>
      <c r="EK71" s="39"/>
      <c r="EL71" s="39"/>
      <c r="EM71" s="39"/>
      <c r="EN71" s="42"/>
      <c r="EO71" s="39"/>
      <c r="EP71" s="72">
        <f t="shared" si="49"/>
        <v>12560.417375999999</v>
      </c>
    </row>
    <row r="72" spans="1:146" x14ac:dyDescent="0.4">
      <c r="A72" s="26">
        <v>2023</v>
      </c>
      <c r="B72" s="27">
        <v>45108</v>
      </c>
      <c r="C72" s="28">
        <f t="shared" si="35"/>
        <v>31</v>
      </c>
      <c r="D72" s="29">
        <v>257.96709677419176</v>
      </c>
      <c r="E72" s="29">
        <v>275.2833</v>
      </c>
      <c r="F72" s="29">
        <v>76.069499999999977</v>
      </c>
      <c r="G72" s="29">
        <v>80.108095238095231</v>
      </c>
      <c r="H72" s="7"/>
      <c r="I72" s="30">
        <v>13.009677419354839</v>
      </c>
      <c r="J72" s="29">
        <v>21.8</v>
      </c>
      <c r="K72" s="29">
        <v>6.2</v>
      </c>
      <c r="L72" s="30">
        <v>11.100000000000001</v>
      </c>
      <c r="M72" s="22"/>
      <c r="N72" s="31">
        <v>6277.1615189999966</v>
      </c>
      <c r="O72" s="31">
        <v>3224.3086989999993</v>
      </c>
      <c r="P72" s="32">
        <f t="shared" si="50"/>
        <v>9501.4702179999949</v>
      </c>
      <c r="Q72" s="31">
        <v>1096.3655789999998</v>
      </c>
      <c r="R72" s="31">
        <v>399.954386</v>
      </c>
      <c r="S72" s="31">
        <v>1478.7712150000002</v>
      </c>
      <c r="T72" s="31">
        <v>0.66450500000000001</v>
      </c>
      <c r="U72" s="32">
        <f t="shared" si="51"/>
        <v>2975.0911799999999</v>
      </c>
      <c r="V72" s="32">
        <f t="shared" si="38"/>
        <v>12476.561397999994</v>
      </c>
      <c r="W72" s="33">
        <v>1.5789999999999999E-3</v>
      </c>
      <c r="X72" s="32">
        <f t="shared" si="39"/>
        <v>12476.562976999994</v>
      </c>
      <c r="Z72" s="32">
        <v>25476</v>
      </c>
      <c r="AB72" s="34">
        <v>6424.0527320000001</v>
      </c>
      <c r="AC72" s="34">
        <v>701.86695099999997</v>
      </c>
      <c r="AD72" s="34">
        <v>5161.1074000000008</v>
      </c>
      <c r="AE72" s="34">
        <v>796.15268800000001</v>
      </c>
      <c r="AF72" s="32">
        <f t="shared" si="36"/>
        <v>13083.179771000001</v>
      </c>
      <c r="AH72" s="31">
        <v>3711.9161530000001</v>
      </c>
      <c r="AI72" s="31">
        <v>58.38541399999999</v>
      </c>
      <c r="AJ72" s="31">
        <v>1079.7930600000002</v>
      </c>
      <c r="AK72" s="31">
        <v>198.65885800000004</v>
      </c>
      <c r="AL72" s="31">
        <v>71.930365999999992</v>
      </c>
      <c r="AM72" s="31">
        <v>40.423549000000008</v>
      </c>
      <c r="AN72" s="32">
        <f t="shared" si="37"/>
        <v>1449.1912470000004</v>
      </c>
      <c r="AO72" s="35">
        <f t="shared" si="40"/>
        <v>0.11615309705703906</v>
      </c>
      <c r="AQ72" s="30">
        <v>35.065871580645151</v>
      </c>
      <c r="AR72" s="36">
        <f t="shared" si="52"/>
        <v>26.080454166915491</v>
      </c>
      <c r="AS72" s="36">
        <f t="shared" si="52"/>
        <v>8.9854174137297083</v>
      </c>
      <c r="AT72" s="30">
        <v>73.964144000000019</v>
      </c>
      <c r="AU72" s="30">
        <v>216.93774299999998</v>
      </c>
      <c r="AV72" s="30">
        <v>57.351575000000004</v>
      </c>
      <c r="AW72" s="30">
        <f t="shared" si="41"/>
        <v>46.18673544831028</v>
      </c>
      <c r="AX72" s="7"/>
      <c r="AY72" s="36">
        <v>25.084863199173554</v>
      </c>
      <c r="AZ72" s="36">
        <v>8.9854174137297083</v>
      </c>
      <c r="BA72" s="36">
        <v>0.99559096774193556</v>
      </c>
      <c r="BB72" s="36">
        <v>0</v>
      </c>
      <c r="BC72" s="7"/>
      <c r="BD72" s="32">
        <f t="shared" si="42"/>
        <v>1872.1866728817502</v>
      </c>
      <c r="BE72" s="32">
        <f t="shared" si="43"/>
        <v>919.27391668185589</v>
      </c>
      <c r="BF72" s="7"/>
      <c r="BG72" s="30">
        <v>9.7122532931703134</v>
      </c>
      <c r="BH72" s="36">
        <v>5.3207337434881623</v>
      </c>
      <c r="BI72" s="36">
        <v>22.458775693297508</v>
      </c>
      <c r="BJ72" s="28">
        <v>565.3919779371796</v>
      </c>
      <c r="BK72" s="28">
        <v>681.22043623935281</v>
      </c>
      <c r="BL72" s="28">
        <v>250.146016313806</v>
      </c>
      <c r="BM72" s="30">
        <f t="shared" si="44"/>
        <v>11.219677045052666</v>
      </c>
      <c r="BN72" s="7"/>
      <c r="BO72" s="29">
        <f t="shared" si="45"/>
        <v>391.0232381054538</v>
      </c>
      <c r="BP72" s="29">
        <f t="shared" ref="BP72:BP99" si="56">+(BJ72*AT72+AU72*BK72+BL72*AV72)/1000</f>
        <v>203.94742561140345</v>
      </c>
      <c r="BQ72" s="30">
        <f t="shared" ref="BQ72:BQ99" si="57">+BO72+BP72</f>
        <v>594.97066371685719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1.5790000000000001E-3</v>
      </c>
      <c r="BY72" s="32">
        <f t="shared" si="46"/>
        <v>1.5790000000000001E-3</v>
      </c>
      <c r="BZ72" s="31">
        <v>774.19650000000001</v>
      </c>
      <c r="CA72" s="31">
        <v>0</v>
      </c>
      <c r="CB72" s="31">
        <v>1.75065</v>
      </c>
      <c r="CC72" s="31">
        <v>11.584788</v>
      </c>
      <c r="CD72" s="31">
        <v>8.6029999999999998</v>
      </c>
      <c r="CE72" s="31">
        <v>1.7734000000000003E-2</v>
      </c>
      <c r="CF72" s="32">
        <f t="shared" si="53"/>
        <v>796.15267199999994</v>
      </c>
      <c r="CG72" s="7"/>
      <c r="CH72" s="31"/>
      <c r="CI72" s="31"/>
      <c r="CJ72" s="31"/>
      <c r="CK72" s="31"/>
      <c r="CL72" s="31"/>
      <c r="CM72" s="32">
        <f t="shared" si="54"/>
        <v>0</v>
      </c>
      <c r="CN72" s="31">
        <v>71.401055147243753</v>
      </c>
      <c r="CO72" s="31">
        <v>23.8</v>
      </c>
      <c r="CP72" s="31">
        <v>120</v>
      </c>
      <c r="CQ72" s="31">
        <v>80</v>
      </c>
      <c r="CR72" s="31">
        <v>75</v>
      </c>
      <c r="CS72" s="32">
        <f t="shared" si="47"/>
        <v>72.09654516025175</v>
      </c>
      <c r="CU72" s="61">
        <v>78.90793937065088</v>
      </c>
      <c r="CV72" s="61">
        <v>6.5151869544669987</v>
      </c>
      <c r="CW72" s="61">
        <v>4.2552135439399796</v>
      </c>
      <c r="CX72" s="62">
        <v>0.82766013094214541</v>
      </c>
      <c r="CY72" s="63">
        <v>90.506</v>
      </c>
      <c r="DA72" s="32">
        <v>36127.86055107518</v>
      </c>
      <c r="DB72" s="30">
        <v>139.99836255702178</v>
      </c>
      <c r="DD72" s="50">
        <v>10564.423065578485</v>
      </c>
      <c r="DE72" s="29">
        <f t="shared" si="55"/>
        <v>38.376549051753173</v>
      </c>
      <c r="DF72" s="51">
        <f t="shared" si="48"/>
        <v>0.42402215379923069</v>
      </c>
      <c r="DH72" s="33"/>
      <c r="DI72" s="32"/>
      <c r="DK72" s="50"/>
      <c r="DL72" s="50"/>
      <c r="DN72" s="31"/>
      <c r="DO72" s="31"/>
      <c r="DQ72" s="29"/>
      <c r="DR72" s="29"/>
      <c r="DT72" s="54"/>
      <c r="DU72" s="54"/>
      <c r="DV72" s="51"/>
      <c r="DX72" s="33"/>
      <c r="DY72" s="33"/>
      <c r="DZ72" s="33"/>
      <c r="EA72" s="33"/>
      <c r="EB72" s="33"/>
      <c r="EC72" s="33"/>
      <c r="ED72" s="33"/>
      <c r="EE72" s="32"/>
      <c r="EF72" s="33"/>
      <c r="EG72" s="33"/>
      <c r="EH72" s="33"/>
      <c r="EI72" s="32"/>
      <c r="EJ72" s="33"/>
      <c r="EK72" s="33"/>
      <c r="EL72" s="33"/>
      <c r="EM72" s="33"/>
      <c r="EN72" s="32"/>
      <c r="EO72" s="32"/>
      <c r="EP72" s="70">
        <f t="shared" si="49"/>
        <v>13083.179771000001</v>
      </c>
    </row>
    <row r="73" spans="1:146" x14ac:dyDescent="0.4">
      <c r="A73" s="22">
        <v>2023</v>
      </c>
      <c r="B73" s="37">
        <v>45139</v>
      </c>
      <c r="C73" s="38">
        <f t="shared" si="35"/>
        <v>31</v>
      </c>
      <c r="D73" s="39">
        <v>278.13535483870623</v>
      </c>
      <c r="E73" s="39">
        <v>350.01670000000001</v>
      </c>
      <c r="F73" s="39">
        <v>81.386086956521751</v>
      </c>
      <c r="G73" s="39">
        <v>86.051052631578955</v>
      </c>
      <c r="H73" s="7"/>
      <c r="I73" s="40">
        <v>14.241935483870964</v>
      </c>
      <c r="J73" s="39">
        <v>23.35</v>
      </c>
      <c r="K73" s="39">
        <v>9.5</v>
      </c>
      <c r="L73" s="40">
        <v>12.6</v>
      </c>
      <c r="M73" s="22"/>
      <c r="N73" s="41">
        <v>5501.9217639999997</v>
      </c>
      <c r="O73" s="41">
        <v>3179.4815860000017</v>
      </c>
      <c r="P73" s="42">
        <f t="shared" si="50"/>
        <v>8681.4033500000005</v>
      </c>
      <c r="Q73" s="41">
        <v>1105.5695230000001</v>
      </c>
      <c r="R73" s="41">
        <v>408.79429000000005</v>
      </c>
      <c r="S73" s="41">
        <v>1559.153166000001</v>
      </c>
      <c r="T73" s="41">
        <v>1.0801700000000005</v>
      </c>
      <c r="U73" s="42">
        <f t="shared" si="51"/>
        <v>3073.5169790000009</v>
      </c>
      <c r="V73" s="42">
        <f t="shared" si="38"/>
        <v>11754.920329</v>
      </c>
      <c r="W73" s="39">
        <v>5.2373819999999993</v>
      </c>
      <c r="X73" s="42">
        <f t="shared" si="39"/>
        <v>11760.157711</v>
      </c>
      <c r="Z73" s="42">
        <v>22313</v>
      </c>
      <c r="AB73" s="41">
        <v>5424.1587959999997</v>
      </c>
      <c r="AC73" s="41">
        <v>722.56701499999997</v>
      </c>
      <c r="AD73" s="41">
        <v>6051.2316959999998</v>
      </c>
      <c r="AE73" s="41">
        <v>247.22919099999999</v>
      </c>
      <c r="AF73" s="42">
        <f t="shared" si="36"/>
        <v>12445.186698</v>
      </c>
      <c r="AH73" s="41">
        <v>4142.1656549999998</v>
      </c>
      <c r="AI73" s="41">
        <v>93.208618999999985</v>
      </c>
      <c r="AJ73" s="41">
        <v>1441.8348920000005</v>
      </c>
      <c r="AK73" s="41">
        <v>254.28214199999999</v>
      </c>
      <c r="AL73" s="41">
        <v>76.613489000000015</v>
      </c>
      <c r="AM73" s="41">
        <v>43.126898999999987</v>
      </c>
      <c r="AN73" s="42">
        <f t="shared" si="37"/>
        <v>1909.0660410000007</v>
      </c>
      <c r="AO73" s="43">
        <f t="shared" si="40"/>
        <v>0.16240569800292354</v>
      </c>
      <c r="AQ73" s="40">
        <v>35.670071903225811</v>
      </c>
      <c r="AR73" s="44">
        <f t="shared" si="52"/>
        <v>32.413548629342365</v>
      </c>
      <c r="AS73" s="44">
        <f t="shared" si="52"/>
        <v>3.2565232738835119</v>
      </c>
      <c r="AT73" s="40">
        <v>14.072923000000003</v>
      </c>
      <c r="AU73" s="40">
        <v>30.920979999999997</v>
      </c>
      <c r="AV73" s="40">
        <v>47.707826000000004</v>
      </c>
      <c r="AW73" s="40">
        <f t="shared" si="41"/>
        <v>38.207855751920128</v>
      </c>
      <c r="AX73" s="7"/>
      <c r="AY73" s="44">
        <v>31.396575080955269</v>
      </c>
      <c r="AZ73" s="44">
        <v>3.2565232738835119</v>
      </c>
      <c r="BA73" s="44">
        <v>1.0169735483870967</v>
      </c>
      <c r="BB73" s="44">
        <v>0</v>
      </c>
      <c r="BC73" s="7"/>
      <c r="BD73" s="38">
        <f t="shared" si="42"/>
        <v>1834.2614978634197</v>
      </c>
      <c r="BE73" s="38">
        <f t="shared" si="43"/>
        <v>799.45169801260647</v>
      </c>
      <c r="BF73" s="7"/>
      <c r="BG73" s="40">
        <v>6.4842043037816071</v>
      </c>
      <c r="BH73" s="44">
        <v>5.1220824671243168</v>
      </c>
      <c r="BI73" s="44">
        <v>20.041977019751783</v>
      </c>
      <c r="BJ73" s="38">
        <v>479.96337198674411</v>
      </c>
      <c r="BK73" s="38">
        <v>624.85394521561454</v>
      </c>
      <c r="BL73" s="38">
        <v>239.09849725707622</v>
      </c>
      <c r="BM73" s="40">
        <f t="shared" si="44"/>
        <v>6.9079522097624038</v>
      </c>
      <c r="BN73" s="7"/>
      <c r="BO73" s="39">
        <f t="shared" si="45"/>
        <v>265.55752023274005</v>
      </c>
      <c r="BP73" s="39">
        <f t="shared" si="56"/>
        <v>37.482453423724991</v>
      </c>
      <c r="BQ73" s="40">
        <f t="shared" si="57"/>
        <v>303.03997365646501</v>
      </c>
      <c r="BS73" s="41">
        <v>0</v>
      </c>
      <c r="BT73" s="41">
        <v>5.2225000000000001</v>
      </c>
      <c r="BU73" s="41">
        <v>0</v>
      </c>
      <c r="BV73" s="41">
        <v>0</v>
      </c>
      <c r="BW73" s="41">
        <v>0</v>
      </c>
      <c r="BX73" s="41">
        <v>1.4883E-2</v>
      </c>
      <c r="BY73" s="42">
        <f t="shared" si="46"/>
        <v>5.2373830000000003</v>
      </c>
      <c r="BZ73" s="41">
        <v>181.86500000000001</v>
      </c>
      <c r="CA73" s="41">
        <v>0</v>
      </c>
      <c r="CB73" s="41">
        <v>3.1507160000000001</v>
      </c>
      <c r="CC73" s="41">
        <v>10.909889999999999</v>
      </c>
      <c r="CD73" s="41">
        <v>47.731000000000002</v>
      </c>
      <c r="CE73" s="41">
        <v>3.5725610000000003</v>
      </c>
      <c r="CF73" s="42">
        <f t="shared" si="53"/>
        <v>247.22916699999999</v>
      </c>
      <c r="CG73" s="7"/>
      <c r="CH73" s="41"/>
      <c r="CI73" s="41"/>
      <c r="CJ73" s="41"/>
      <c r="CK73" s="41"/>
      <c r="CL73" s="41">
        <v>73.740778068937715</v>
      </c>
      <c r="CM73" s="42">
        <f t="shared" si="54"/>
        <v>0.20954816556283931</v>
      </c>
      <c r="CN73" s="41">
        <v>83.121174847011815</v>
      </c>
      <c r="CO73" s="41">
        <v>25</v>
      </c>
      <c r="CP73" s="41">
        <v>120</v>
      </c>
      <c r="CQ73" s="41">
        <v>80</v>
      </c>
      <c r="CR73" s="41">
        <v>78.835809941383786</v>
      </c>
      <c r="CS73" s="42">
        <f t="shared" si="47"/>
        <v>83.343373897109018</v>
      </c>
      <c r="CU73" s="64">
        <v>54.675538981786261</v>
      </c>
      <c r="CV73" s="64">
        <v>7.1215949989296394</v>
      </c>
      <c r="CW73" s="64">
        <v>3.0136632132127601</v>
      </c>
      <c r="CX73" s="65">
        <v>0.71473170258079788</v>
      </c>
      <c r="CY73" s="66">
        <v>65.525528896509456</v>
      </c>
      <c r="DA73" s="42">
        <v>30122.971787634415</v>
      </c>
      <c r="DB73" s="40">
        <v>108.26904150525255</v>
      </c>
      <c r="DD73" s="42">
        <v>11806.833168431933</v>
      </c>
      <c r="DE73" s="39">
        <f t="shared" si="55"/>
        <v>33.73219954485581</v>
      </c>
      <c r="DF73" s="55">
        <f t="shared" si="48"/>
        <v>0.51479476950322978</v>
      </c>
      <c r="DH73" s="39"/>
      <c r="DI73" s="42"/>
      <c r="DK73" s="42"/>
      <c r="DL73" s="42"/>
      <c r="DN73" s="41"/>
      <c r="DO73" s="41"/>
      <c r="DQ73" s="39"/>
      <c r="DR73" s="39"/>
      <c r="DT73" s="56"/>
      <c r="DU73" s="56"/>
      <c r="DV73" s="55"/>
      <c r="DX73" s="39"/>
      <c r="DY73" s="39"/>
      <c r="DZ73" s="39"/>
      <c r="EA73" s="39"/>
      <c r="EB73" s="39"/>
      <c r="EC73" s="39"/>
      <c r="ED73" s="39"/>
      <c r="EE73" s="42"/>
      <c r="EF73" s="39"/>
      <c r="EG73" s="39"/>
      <c r="EH73" s="39"/>
      <c r="EI73" s="42"/>
      <c r="EJ73" s="39"/>
      <c r="EK73" s="39"/>
      <c r="EL73" s="39"/>
      <c r="EM73" s="39"/>
      <c r="EN73" s="42"/>
      <c r="EO73" s="39"/>
      <c r="EP73" s="72">
        <f t="shared" si="49"/>
        <v>12445.186698</v>
      </c>
    </row>
    <row r="74" spans="1:146" x14ac:dyDescent="0.4">
      <c r="A74" s="26">
        <v>2023</v>
      </c>
      <c r="B74" s="27">
        <v>45170</v>
      </c>
      <c r="C74" s="28">
        <f t="shared" si="35"/>
        <v>30</v>
      </c>
      <c r="D74" s="29">
        <v>343.3039000000025</v>
      </c>
      <c r="E74" s="29">
        <v>350.00830000000002</v>
      </c>
      <c r="F74" s="29">
        <v>89.425000000000026</v>
      </c>
      <c r="G74" s="29">
        <v>93.722380952380945</v>
      </c>
      <c r="H74" s="7"/>
      <c r="I74" s="30">
        <v>14.955000000000002</v>
      </c>
      <c r="J74" s="29">
        <v>21.85</v>
      </c>
      <c r="K74" s="29">
        <v>9.3000000000000007</v>
      </c>
      <c r="L74" s="30">
        <v>14.5</v>
      </c>
      <c r="M74" s="22"/>
      <c r="N74" s="31">
        <v>4894.3246260000024</v>
      </c>
      <c r="O74" s="31">
        <v>3055.1776800000025</v>
      </c>
      <c r="P74" s="32">
        <f t="shared" si="50"/>
        <v>7949.5023060000049</v>
      </c>
      <c r="Q74" s="31">
        <v>1040.082349</v>
      </c>
      <c r="R74" s="31">
        <v>401.95539699999995</v>
      </c>
      <c r="S74" s="31">
        <v>1570.5453050000006</v>
      </c>
      <c r="T74" s="31">
        <v>0.15909999999999999</v>
      </c>
      <c r="U74" s="32">
        <f t="shared" si="51"/>
        <v>3012.5830510000005</v>
      </c>
      <c r="V74" s="32">
        <f t="shared" si="38"/>
        <v>10962.085357000005</v>
      </c>
      <c r="W74" s="33">
        <v>11.068620000000001</v>
      </c>
      <c r="X74" s="32">
        <f t="shared" si="39"/>
        <v>10973.153977000005</v>
      </c>
      <c r="Z74" s="32">
        <v>23085</v>
      </c>
      <c r="AB74" s="34">
        <v>4708.8733350000002</v>
      </c>
      <c r="AC74" s="34">
        <v>808.50903200000005</v>
      </c>
      <c r="AD74" s="34">
        <v>5858.551751</v>
      </c>
      <c r="AE74" s="34">
        <v>179.783963</v>
      </c>
      <c r="AF74" s="32">
        <f t="shared" si="36"/>
        <v>11555.718081000001</v>
      </c>
      <c r="AH74" s="31">
        <v>4172.1523890000008</v>
      </c>
      <c r="AI74" s="31">
        <v>135.83143399999997</v>
      </c>
      <c r="AJ74" s="31">
        <v>1145.9514339999998</v>
      </c>
      <c r="AK74" s="31">
        <v>293.78644700000012</v>
      </c>
      <c r="AL74" s="31">
        <v>70.228977</v>
      </c>
      <c r="AM74" s="31">
        <v>40.60107</v>
      </c>
      <c r="AN74" s="32">
        <f t="shared" si="37"/>
        <v>1686.3993619999999</v>
      </c>
      <c r="AO74" s="35">
        <f t="shared" si="40"/>
        <v>0.15383928395732879</v>
      </c>
      <c r="AQ74" s="30">
        <v>33.007002633333308</v>
      </c>
      <c r="AR74" s="36">
        <f t="shared" si="52"/>
        <v>32.885991334487088</v>
      </c>
      <c r="AS74" s="36">
        <f t="shared" si="52"/>
        <v>0.12007831443831396</v>
      </c>
      <c r="AT74" s="30">
        <v>11.943870999999996</v>
      </c>
      <c r="AU74" s="30">
        <v>24.788454000000012</v>
      </c>
      <c r="AV74" s="30">
        <v>31.958081</v>
      </c>
      <c r="AW74" s="30">
        <f t="shared" si="41"/>
        <v>35.000290365555529</v>
      </c>
      <c r="AX74" s="7"/>
      <c r="AY74" s="36">
        <v>31.99078366782042</v>
      </c>
      <c r="AZ74" s="36">
        <v>0.12007831443831396</v>
      </c>
      <c r="BA74" s="36">
        <v>0.89520766666666673</v>
      </c>
      <c r="BB74" s="36">
        <v>0</v>
      </c>
      <c r="BC74" s="7"/>
      <c r="BD74" s="32">
        <f t="shared" si="42"/>
        <v>1873.0750531262684</v>
      </c>
      <c r="BE74" s="32">
        <f t="shared" si="43"/>
        <v>763.26482787962993</v>
      </c>
      <c r="BF74" s="7"/>
      <c r="BG74" s="30">
        <v>4.928874851734462</v>
      </c>
      <c r="BH74" s="36">
        <v>4.8916877175655413</v>
      </c>
      <c r="BI74" s="36">
        <v>15.151656052159673</v>
      </c>
      <c r="BJ74" s="28">
        <v>538.05608920941017</v>
      </c>
      <c r="BK74" s="28">
        <v>698.17308169457817</v>
      </c>
      <c r="BL74" s="28">
        <v>238.52699273626951</v>
      </c>
      <c r="BM74" s="30">
        <f t="shared" si="44"/>
        <v>5.4544620953618743</v>
      </c>
      <c r="BN74" s="7"/>
      <c r="BO74" s="29">
        <f t="shared" si="45"/>
        <v>180.76376134507746</v>
      </c>
      <c r="BP74" s="29">
        <f t="shared" si="56"/>
        <v>31.3559687944581</v>
      </c>
      <c r="BQ74" s="30">
        <f t="shared" si="57"/>
        <v>212.11973013953556</v>
      </c>
      <c r="BS74" s="31">
        <v>0</v>
      </c>
      <c r="BT74" s="31">
        <v>10.7675</v>
      </c>
      <c r="BU74" s="31">
        <v>0</v>
      </c>
      <c r="BV74" s="31">
        <v>0</v>
      </c>
      <c r="BW74" s="31">
        <v>0.17100000000000001</v>
      </c>
      <c r="BX74" s="31">
        <v>0.13010099999999999</v>
      </c>
      <c r="BY74" s="32">
        <f t="shared" si="46"/>
        <v>11.068600999999999</v>
      </c>
      <c r="BZ74" s="31">
        <v>94.760300000000001</v>
      </c>
      <c r="CA74" s="31">
        <v>0</v>
      </c>
      <c r="CB74" s="31">
        <v>4.7864380000000004</v>
      </c>
      <c r="CC74" s="31">
        <v>9.9595020000000005</v>
      </c>
      <c r="CD74" s="31">
        <v>64.864999999999995</v>
      </c>
      <c r="CE74" s="31">
        <v>5.4143490000000005</v>
      </c>
      <c r="CF74" s="32">
        <f t="shared" si="53"/>
        <v>179.78558899999999</v>
      </c>
      <c r="CG74" s="7"/>
      <c r="CH74" s="31"/>
      <c r="CI74" s="31"/>
      <c r="CJ74" s="31"/>
      <c r="CK74" s="31">
        <v>100</v>
      </c>
      <c r="CL74" s="31">
        <v>85.1</v>
      </c>
      <c r="CM74" s="32">
        <f t="shared" si="54"/>
        <v>2.5451811931787947</v>
      </c>
      <c r="CN74" s="31">
        <v>86.1</v>
      </c>
      <c r="CO74" s="31">
        <v>19.100000000000001</v>
      </c>
      <c r="CP74" s="31">
        <v>120</v>
      </c>
      <c r="CQ74" s="31">
        <v>80</v>
      </c>
      <c r="CR74" s="31">
        <v>82.2</v>
      </c>
      <c r="CS74" s="32">
        <f t="shared" si="47"/>
        <v>83.875924691605846</v>
      </c>
      <c r="CU74" s="61">
        <v>56.886411163528201</v>
      </c>
      <c r="CV74" s="61">
        <v>7.978344109296045</v>
      </c>
      <c r="CW74" s="61">
        <v>2.8015585045012106</v>
      </c>
      <c r="CX74" s="62">
        <v>0.83368622267455084</v>
      </c>
      <c r="CY74" s="63">
        <v>68.5</v>
      </c>
      <c r="DA74" s="32">
        <v>24521.419819444429</v>
      </c>
      <c r="DB74" s="30">
        <v>72.022552605735996</v>
      </c>
      <c r="DD74" s="50">
        <v>11921.601483001994</v>
      </c>
      <c r="DE74" s="29">
        <f t="shared" si="55"/>
        <v>34.06091079269261</v>
      </c>
      <c r="DF74" s="51">
        <f t="shared" si="48"/>
        <v>0.4972395736159505</v>
      </c>
      <c r="DH74" s="33"/>
      <c r="DI74" s="32"/>
      <c r="DK74" s="50"/>
      <c r="DL74" s="50"/>
      <c r="DN74" s="31"/>
      <c r="DO74" s="31"/>
      <c r="DQ74" s="29"/>
      <c r="DR74" s="29"/>
      <c r="DT74" s="54"/>
      <c r="DU74" s="54"/>
      <c r="DV74" s="51"/>
      <c r="DX74" s="33"/>
      <c r="DY74" s="33"/>
      <c r="DZ74" s="33"/>
      <c r="EA74" s="33"/>
      <c r="EB74" s="33"/>
      <c r="EC74" s="33"/>
      <c r="ED74" s="33"/>
      <c r="EE74" s="32"/>
      <c r="EF74" s="33"/>
      <c r="EG74" s="33"/>
      <c r="EH74" s="33"/>
      <c r="EI74" s="32"/>
      <c r="EJ74" s="33"/>
      <c r="EK74" s="33"/>
      <c r="EL74" s="33"/>
      <c r="EM74" s="33"/>
      <c r="EN74" s="32"/>
      <c r="EO74" s="32"/>
      <c r="EP74" s="70">
        <f t="shared" si="49"/>
        <v>11555.718081000001</v>
      </c>
    </row>
    <row r="75" spans="1:146" x14ac:dyDescent="0.4">
      <c r="A75" s="22">
        <v>2023</v>
      </c>
      <c r="B75" s="37">
        <v>45200</v>
      </c>
      <c r="C75" s="38">
        <f t="shared" si="35"/>
        <v>31</v>
      </c>
      <c r="D75" s="39">
        <v>350.01435483870773</v>
      </c>
      <c r="E75" s="39">
        <v>350.03</v>
      </c>
      <c r="F75" s="39">
        <v>85.639523809523794</v>
      </c>
      <c r="G75" s="39">
        <v>90.595909090909103</v>
      </c>
      <c r="H75" s="7"/>
      <c r="I75" s="40">
        <v>18.164516129032254</v>
      </c>
      <c r="J75" s="39">
        <v>23.35</v>
      </c>
      <c r="K75" s="39">
        <v>10.950000000000001</v>
      </c>
      <c r="L75" s="40">
        <v>17.400000000000002</v>
      </c>
      <c r="M75" s="22"/>
      <c r="N75" s="41">
        <v>4396.2465970000012</v>
      </c>
      <c r="O75" s="41">
        <v>3054.3932650000006</v>
      </c>
      <c r="P75" s="42">
        <f t="shared" si="50"/>
        <v>7450.6398620000018</v>
      </c>
      <c r="Q75" s="41">
        <v>1041.07008</v>
      </c>
      <c r="R75" s="41">
        <v>387.44653299999999</v>
      </c>
      <c r="S75" s="41">
        <v>1574.9693929999989</v>
      </c>
      <c r="T75" s="41">
        <v>-7.4000000000000023E-5</v>
      </c>
      <c r="U75" s="42">
        <f t="shared" si="51"/>
        <v>3003.4860059999992</v>
      </c>
      <c r="V75" s="42">
        <f t="shared" si="38"/>
        <v>10454.125868000001</v>
      </c>
      <c r="W75" s="39">
        <v>42.149158</v>
      </c>
      <c r="X75" s="42">
        <f t="shared" si="39"/>
        <v>10496.275026000001</v>
      </c>
      <c r="Z75" s="42">
        <v>19520</v>
      </c>
      <c r="AB75" s="41">
        <v>4061.7108920000001</v>
      </c>
      <c r="AC75" s="41">
        <v>859.48946799999999</v>
      </c>
      <c r="AD75" s="41">
        <v>6055.8633259999997</v>
      </c>
      <c r="AE75" s="41">
        <v>10.103359000000001</v>
      </c>
      <c r="AF75" s="42">
        <f t="shared" si="36"/>
        <v>10987.167045</v>
      </c>
      <c r="AH75" s="41">
        <v>4158.8147099999996</v>
      </c>
      <c r="AI75" s="41">
        <v>137.71790200000001</v>
      </c>
      <c r="AJ75" s="41">
        <v>1316.648359</v>
      </c>
      <c r="AK75" s="41">
        <v>343.55800999999997</v>
      </c>
      <c r="AL75" s="41">
        <v>58.810105999999998</v>
      </c>
      <c r="AM75" s="41">
        <v>40.314239000000008</v>
      </c>
      <c r="AN75" s="42">
        <f t="shared" si="37"/>
        <v>1897.048616</v>
      </c>
      <c r="AO75" s="43">
        <f t="shared" si="40"/>
        <v>0.18146410708587804</v>
      </c>
      <c r="AQ75" s="40">
        <v>28.144205580645163</v>
      </c>
      <c r="AR75" s="44">
        <f t="shared" si="52"/>
        <v>27.754258651951513</v>
      </c>
      <c r="AS75" s="44">
        <f t="shared" si="52"/>
        <v>0.38344687986241727</v>
      </c>
      <c r="AT75" s="40">
        <v>0.18643600000000002</v>
      </c>
      <c r="AU75" s="40">
        <v>5.6289809999999996</v>
      </c>
      <c r="AV75" s="40">
        <v>4.1390900000000004</v>
      </c>
      <c r="AW75" s="40">
        <f t="shared" si="41"/>
        <v>28.422526685791091</v>
      </c>
      <c r="AX75" s="7"/>
      <c r="AY75" s="44">
        <v>26.674449297112805</v>
      </c>
      <c r="AZ75" s="44">
        <v>0.38344687986241727</v>
      </c>
      <c r="BA75" s="44">
        <v>1.0798093548387098</v>
      </c>
      <c r="BB75" s="44">
        <v>0</v>
      </c>
      <c r="BC75" s="7"/>
      <c r="BD75" s="38">
        <f t="shared" si="42"/>
        <v>1822.194180180956</v>
      </c>
      <c r="BE75" s="38">
        <f t="shared" si="43"/>
        <v>673.624594826573</v>
      </c>
      <c r="BF75" s="7"/>
      <c r="BG75" s="40">
        <v>3.3120125518446093</v>
      </c>
      <c r="BH75" s="44">
        <v>3.2373614363093903</v>
      </c>
      <c r="BI75" s="44">
        <v>8.7714770108825704</v>
      </c>
      <c r="BJ75" s="38">
        <v>646.65849652403563</v>
      </c>
      <c r="BK75" s="38">
        <v>717.00508685130683</v>
      </c>
      <c r="BL75" s="38">
        <v>238.52701132634456</v>
      </c>
      <c r="BM75" s="40">
        <f t="shared" si="44"/>
        <v>3.4372064606571193</v>
      </c>
      <c r="BN75" s="7"/>
      <c r="BO75" s="39">
        <f t="shared" si="45"/>
        <v>107.02343801809438</v>
      </c>
      <c r="BP75" s="39">
        <f t="shared" si="56"/>
        <v>5.1438532015580707</v>
      </c>
      <c r="BQ75" s="40">
        <f t="shared" si="57"/>
        <v>112.16729121965245</v>
      </c>
      <c r="BS75" s="41">
        <v>5.367</v>
      </c>
      <c r="BT75" s="41">
        <v>35.758400000000002</v>
      </c>
      <c r="BU75" s="41">
        <v>0</v>
      </c>
      <c r="BV75" s="41">
        <v>0</v>
      </c>
      <c r="BW75" s="41">
        <v>1.01</v>
      </c>
      <c r="BX75" s="41">
        <v>1.3717999999999999E-2</v>
      </c>
      <c r="BY75" s="42">
        <f t="shared" si="46"/>
        <v>42.149118000000001</v>
      </c>
      <c r="BZ75" s="41">
        <v>0</v>
      </c>
      <c r="CA75" s="41">
        <v>0</v>
      </c>
      <c r="CB75" s="41">
        <v>0</v>
      </c>
      <c r="CC75" s="41">
        <v>10.08675</v>
      </c>
      <c r="CD75" s="41">
        <v>0</v>
      </c>
      <c r="CE75" s="41">
        <v>1.6609000000000002E-2</v>
      </c>
      <c r="CF75" s="42">
        <f t="shared" si="53"/>
        <v>10.103359000000001</v>
      </c>
      <c r="CG75" s="7"/>
      <c r="CH75" s="41">
        <v>11.219034852546917</v>
      </c>
      <c r="CI75" s="41"/>
      <c r="CJ75" s="41"/>
      <c r="CK75" s="41">
        <v>70</v>
      </c>
      <c r="CL75" s="41"/>
      <c r="CM75" s="42">
        <f t="shared" si="54"/>
        <v>3.1059383034686348</v>
      </c>
      <c r="CN75" s="41"/>
      <c r="CO75" s="41"/>
      <c r="CP75" s="41">
        <v>120</v>
      </c>
      <c r="CQ75" s="41"/>
      <c r="CR75" s="41"/>
      <c r="CS75" s="42">
        <f t="shared" si="47"/>
        <v>119.80273095314142</v>
      </c>
      <c r="CU75" s="64">
        <v>47.175658247134933</v>
      </c>
      <c r="CV75" s="64">
        <v>7.4426427917745555</v>
      </c>
      <c r="CW75" s="64">
        <v>1.9307914706119713</v>
      </c>
      <c r="CX75" s="65">
        <v>0.90510504285928861</v>
      </c>
      <c r="CY75" s="66">
        <v>57.454197552380748</v>
      </c>
      <c r="DA75" s="42">
        <v>10375.112352150554</v>
      </c>
      <c r="DB75" s="40">
        <v>29.641965898855464</v>
      </c>
      <c r="DD75" s="42">
        <v>12125.3286110841</v>
      </c>
      <c r="DE75" s="39">
        <f t="shared" si="55"/>
        <v>34.640826817941608</v>
      </c>
      <c r="DF75" s="55">
        <f t="shared" si="48"/>
        <v>0.60292943411766764</v>
      </c>
      <c r="DH75" s="39"/>
      <c r="DI75" s="42"/>
      <c r="DK75" s="42"/>
      <c r="DL75" s="42"/>
      <c r="DN75" s="41"/>
      <c r="DO75" s="41"/>
      <c r="DQ75" s="39"/>
      <c r="DR75" s="39"/>
      <c r="DT75" s="56"/>
      <c r="DU75" s="56"/>
      <c r="DV75" s="55"/>
      <c r="DX75" s="39"/>
      <c r="DY75" s="39"/>
      <c r="DZ75" s="39"/>
      <c r="EA75" s="39"/>
      <c r="EB75" s="39"/>
      <c r="EC75" s="39"/>
      <c r="ED75" s="39"/>
      <c r="EE75" s="42"/>
      <c r="EF75" s="39"/>
      <c r="EG75" s="39"/>
      <c r="EH75" s="39"/>
      <c r="EI75" s="42"/>
      <c r="EJ75" s="39"/>
      <c r="EK75" s="39"/>
      <c r="EL75" s="39"/>
      <c r="EM75" s="39"/>
      <c r="EN75" s="42"/>
      <c r="EO75" s="39"/>
      <c r="EP75" s="72">
        <f t="shared" si="49"/>
        <v>10987.167045</v>
      </c>
    </row>
    <row r="76" spans="1:146" x14ac:dyDescent="0.4">
      <c r="A76" s="26">
        <v>2023</v>
      </c>
      <c r="B76" s="27">
        <v>45231</v>
      </c>
      <c r="C76" s="28">
        <f t="shared" si="35"/>
        <v>30</v>
      </c>
      <c r="D76" s="29">
        <v>350.01499999999652</v>
      </c>
      <c r="E76" s="29">
        <v>360.52499999999998</v>
      </c>
      <c r="F76" s="29">
        <v>77.684999999999988</v>
      </c>
      <c r="G76" s="29">
        <v>82.94</v>
      </c>
      <c r="H76" s="7"/>
      <c r="I76" s="30">
        <v>21.171666666666667</v>
      </c>
      <c r="J76" s="29">
        <v>26.400000000000002</v>
      </c>
      <c r="K76" s="29">
        <v>13.05</v>
      </c>
      <c r="L76" s="30">
        <v>20.400000000000002</v>
      </c>
      <c r="M76" s="22"/>
      <c r="N76" s="31">
        <v>4843.9676039999986</v>
      </c>
      <c r="O76" s="31">
        <v>3171.1585169999998</v>
      </c>
      <c r="P76" s="32">
        <f t="shared" si="50"/>
        <v>8015.1261209999984</v>
      </c>
      <c r="Q76" s="31">
        <v>1064.7859579999999</v>
      </c>
      <c r="R76" s="31">
        <v>416.24559799999992</v>
      </c>
      <c r="S76" s="31">
        <v>1542.7752140000005</v>
      </c>
      <c r="T76" s="31">
        <v>1.8782520000000007</v>
      </c>
      <c r="U76" s="32">
        <f t="shared" si="51"/>
        <v>3023.8067700000001</v>
      </c>
      <c r="V76" s="32">
        <f t="shared" si="38"/>
        <v>11038.932890999999</v>
      </c>
      <c r="W76" s="33">
        <v>16.185974999999999</v>
      </c>
      <c r="X76" s="32">
        <f t="shared" si="39"/>
        <v>11055.118865999999</v>
      </c>
      <c r="Z76" s="32">
        <v>23085</v>
      </c>
      <c r="AB76" s="34">
        <v>4896.465502</v>
      </c>
      <c r="AC76" s="34">
        <v>870.26574100000005</v>
      </c>
      <c r="AD76" s="34">
        <v>5826.509384</v>
      </c>
      <c r="AE76" s="34">
        <v>4.5209160000000006</v>
      </c>
      <c r="AF76" s="32">
        <f t="shared" si="36"/>
        <v>11597.761542999999</v>
      </c>
      <c r="AH76" s="31">
        <v>3783.8264570000006</v>
      </c>
      <c r="AI76" s="31">
        <v>134.90450100000001</v>
      </c>
      <c r="AJ76" s="31">
        <v>1459.7669360000007</v>
      </c>
      <c r="AK76" s="31">
        <v>350.50099599999999</v>
      </c>
      <c r="AL76" s="31">
        <v>58.663229000000001</v>
      </c>
      <c r="AM76" s="31">
        <v>38.847264999999993</v>
      </c>
      <c r="AN76" s="32">
        <f t="shared" si="37"/>
        <v>2042.6829270000007</v>
      </c>
      <c r="AO76" s="35">
        <f t="shared" si="40"/>
        <v>0.18504351346001865</v>
      </c>
      <c r="AQ76" s="30">
        <v>34.466376366666672</v>
      </c>
      <c r="AR76" s="36">
        <f t="shared" si="52"/>
        <v>33.567104988409049</v>
      </c>
      <c r="AS76" s="36">
        <f t="shared" si="52"/>
        <v>0.88844887986436138</v>
      </c>
      <c r="AT76" s="30">
        <v>1.6844440000000003</v>
      </c>
      <c r="AU76" s="30">
        <v>27.070305000000001</v>
      </c>
      <c r="AV76" s="30">
        <v>0.27799000000000001</v>
      </c>
      <c r="AW76" s="30">
        <f t="shared" si="41"/>
        <v>35.459518882936514</v>
      </c>
      <c r="AX76" s="7"/>
      <c r="AY76" s="36">
        <v>32.426725655075714</v>
      </c>
      <c r="AZ76" s="36">
        <v>0.88844887986436138</v>
      </c>
      <c r="BA76" s="36">
        <v>1.1403793333333334</v>
      </c>
      <c r="BB76" s="36">
        <v>0</v>
      </c>
      <c r="BC76" s="7"/>
      <c r="BD76" s="32">
        <f t="shared" si="42"/>
        <v>1824.9487829231316</v>
      </c>
      <c r="BE76" s="32">
        <f t="shared" si="43"/>
        <v>770.476158297403</v>
      </c>
      <c r="BF76" s="7"/>
      <c r="BG76" s="30">
        <v>3.4009808349829869</v>
      </c>
      <c r="BH76" s="36">
        <v>3.2205014576547177</v>
      </c>
      <c r="BI76" s="36">
        <v>10.261226207314719</v>
      </c>
      <c r="BJ76" s="28">
        <v>671.95153062901693</v>
      </c>
      <c r="BK76" s="28">
        <v>702.11532451782693</v>
      </c>
      <c r="BL76" s="28">
        <v>238.52700287462926</v>
      </c>
      <c r="BM76" s="30">
        <f t="shared" si="44"/>
        <v>3.818542204824305</v>
      </c>
      <c r="BN76" s="7"/>
      <c r="BO76" s="29">
        <f t="shared" si="45"/>
        <v>130.24387274927099</v>
      </c>
      <c r="BP76" s="29">
        <f t="shared" si="56"/>
        <v>20.204648825459536</v>
      </c>
      <c r="BQ76" s="30">
        <f t="shared" si="57"/>
        <v>150.44852157473053</v>
      </c>
      <c r="BS76" s="31">
        <v>4.6500000000000004</v>
      </c>
      <c r="BT76" s="31">
        <v>10.996600000000001</v>
      </c>
      <c r="BU76" s="31">
        <v>0</v>
      </c>
      <c r="BV76" s="31">
        <v>0</v>
      </c>
      <c r="BW76" s="31">
        <v>0.47699999999999998</v>
      </c>
      <c r="BX76" s="31">
        <v>2.3860000000000001E-3</v>
      </c>
      <c r="BY76" s="32">
        <f t="shared" si="46"/>
        <v>16.125986000000001</v>
      </c>
      <c r="BZ76" s="31">
        <v>0</v>
      </c>
      <c r="CA76" s="31">
        <v>0</v>
      </c>
      <c r="CB76" s="31">
        <v>0</v>
      </c>
      <c r="CC76" s="31">
        <v>1.755522</v>
      </c>
      <c r="CD76" s="31">
        <v>2.7480000000000002</v>
      </c>
      <c r="CE76" s="31">
        <v>1.7394E-2</v>
      </c>
      <c r="CF76" s="32">
        <f t="shared" si="53"/>
        <v>4.5209160000000006</v>
      </c>
      <c r="CG76" s="7"/>
      <c r="CH76" s="31">
        <v>20.798722044728436</v>
      </c>
      <c r="CI76" s="31"/>
      <c r="CJ76" s="31"/>
      <c r="CK76" s="31">
        <v>108.99371069182389</v>
      </c>
      <c r="CL76" s="31"/>
      <c r="CM76" s="32">
        <f t="shared" si="54"/>
        <v>9.2213931915845144</v>
      </c>
      <c r="CN76" s="31"/>
      <c r="CO76" s="31"/>
      <c r="CP76" s="31">
        <v>120</v>
      </c>
      <c r="CQ76" s="31">
        <v>80</v>
      </c>
      <c r="CR76" s="31"/>
      <c r="CS76" s="32">
        <f t="shared" si="47"/>
        <v>95.22464916401897</v>
      </c>
      <c r="CU76" s="61">
        <v>50.629236634364993</v>
      </c>
      <c r="CV76" s="61">
        <v>8.7783609935703613</v>
      </c>
      <c r="CW76" s="61">
        <v>2.079904417920198</v>
      </c>
      <c r="CX76" s="62">
        <v>0.99847878538623158</v>
      </c>
      <c r="CY76" s="63">
        <v>62.485980831241783</v>
      </c>
      <c r="DA76" s="32">
        <v>11448.441819444448</v>
      </c>
      <c r="DB76" s="30">
        <v>32.708603445306686</v>
      </c>
      <c r="DD76" s="50">
        <v>11410.573660525488</v>
      </c>
      <c r="DE76" s="29">
        <f t="shared" si="55"/>
        <v>31.649881868179705</v>
      </c>
      <c r="DF76" s="51">
        <f t="shared" si="48"/>
        <v>0.50651172386423315</v>
      </c>
      <c r="DH76" s="33"/>
      <c r="DI76" s="32"/>
      <c r="DK76" s="50"/>
      <c r="DL76" s="50"/>
      <c r="DN76" s="31"/>
      <c r="DO76" s="31"/>
      <c r="DQ76" s="29"/>
      <c r="DR76" s="29"/>
      <c r="DT76" s="54"/>
      <c r="DU76" s="54"/>
      <c r="DV76" s="51"/>
      <c r="DX76" s="33"/>
      <c r="DY76" s="33"/>
      <c r="DZ76" s="33"/>
      <c r="EA76" s="33"/>
      <c r="EB76" s="33"/>
      <c r="EC76" s="33"/>
      <c r="ED76" s="33"/>
      <c r="EE76" s="32"/>
      <c r="EF76" s="33"/>
      <c r="EG76" s="33"/>
      <c r="EH76" s="33"/>
      <c r="EI76" s="32"/>
      <c r="EJ76" s="33"/>
      <c r="EK76" s="33"/>
      <c r="EL76" s="33"/>
      <c r="EM76" s="33"/>
      <c r="EN76" s="32"/>
      <c r="EO76" s="32"/>
      <c r="EP76" s="70">
        <f t="shared" si="49"/>
        <v>11597.761542999999</v>
      </c>
    </row>
    <row r="77" spans="1:146" x14ac:dyDescent="0.4">
      <c r="A77" s="22">
        <v>2023</v>
      </c>
      <c r="B77" s="37">
        <v>45261</v>
      </c>
      <c r="C77" s="38">
        <f t="shared" si="35"/>
        <v>31</v>
      </c>
      <c r="D77" s="39">
        <v>557.29274193547758</v>
      </c>
      <c r="E77" s="39">
        <v>808.48</v>
      </c>
      <c r="F77" s="39">
        <v>71.900000000000006</v>
      </c>
      <c r="G77" s="39">
        <v>77.631052631578939</v>
      </c>
      <c r="H77" s="7"/>
      <c r="I77" s="40">
        <v>22.877419354838715</v>
      </c>
      <c r="J77" s="39">
        <v>27.799999999999997</v>
      </c>
      <c r="K77" s="39">
        <v>16.8</v>
      </c>
      <c r="L77" s="40">
        <v>23.1</v>
      </c>
      <c r="M77" s="22"/>
      <c r="N77" s="41">
        <v>5475.149277999999</v>
      </c>
      <c r="O77" s="41">
        <v>3335.5007179999989</v>
      </c>
      <c r="P77" s="42">
        <f t="shared" si="50"/>
        <v>8810.6499959999983</v>
      </c>
      <c r="Q77" s="41">
        <v>1078.7437849999997</v>
      </c>
      <c r="R77" s="41">
        <v>416.603476</v>
      </c>
      <c r="S77" s="41">
        <v>1455.1618920000001</v>
      </c>
      <c r="T77" s="41">
        <v>1.8448790000000006</v>
      </c>
      <c r="U77" s="42">
        <f t="shared" si="51"/>
        <v>2950.509153</v>
      </c>
      <c r="V77" s="42">
        <f t="shared" si="38"/>
        <v>11761.159148999999</v>
      </c>
      <c r="W77" s="39">
        <v>5.7390240000000006</v>
      </c>
      <c r="X77" s="42">
        <f t="shared" si="39"/>
        <v>11766.898173</v>
      </c>
      <c r="Z77" s="42">
        <v>25688</v>
      </c>
      <c r="AB77" s="41">
        <v>5210.0976009999995</v>
      </c>
      <c r="AC77" s="41">
        <v>1081.0528039999999</v>
      </c>
      <c r="AD77" s="41">
        <v>6003.3438409999999</v>
      </c>
      <c r="AE77" s="41">
        <v>18.351136</v>
      </c>
      <c r="AF77" s="42">
        <f t="shared" si="36"/>
        <v>12312.845381999998</v>
      </c>
      <c r="AH77" s="41">
        <v>4171.415755</v>
      </c>
      <c r="AI77" s="41">
        <v>131.80836199999996</v>
      </c>
      <c r="AJ77" s="41">
        <v>1226.1455490000003</v>
      </c>
      <c r="AK77" s="41">
        <v>373.65269500000005</v>
      </c>
      <c r="AL77" s="41">
        <v>61.325837</v>
      </c>
      <c r="AM77" s="41">
        <v>38.995643000000001</v>
      </c>
      <c r="AN77" s="42">
        <f t="shared" si="37"/>
        <v>1831.9280860000003</v>
      </c>
      <c r="AO77" s="43">
        <f t="shared" si="40"/>
        <v>0.15576084489561229</v>
      </c>
      <c r="AQ77" s="40">
        <v>34.750271935483873</v>
      </c>
      <c r="AR77" s="44">
        <f t="shared" si="52"/>
        <v>34.120795043918243</v>
      </c>
      <c r="AS77" s="44">
        <f t="shared" si="52"/>
        <v>0.62908566257277498</v>
      </c>
      <c r="AT77" s="40">
        <v>11.580932000000001</v>
      </c>
      <c r="AU77" s="40">
        <v>34.800491999999998</v>
      </c>
      <c r="AV77" s="40">
        <v>1.0543150000000001</v>
      </c>
      <c r="AW77" s="40">
        <f t="shared" si="41"/>
        <v>36.354629293241167</v>
      </c>
      <c r="AX77" s="7"/>
      <c r="AY77" s="44">
        <v>32.987396011660181</v>
      </c>
      <c r="AZ77" s="44">
        <v>0.62908566257277498</v>
      </c>
      <c r="BA77" s="44">
        <v>1.1333990322580645</v>
      </c>
      <c r="BB77" s="44">
        <v>0</v>
      </c>
      <c r="BC77" s="7"/>
      <c r="BD77" s="38">
        <f t="shared" si="42"/>
        <v>1816.9996404948347</v>
      </c>
      <c r="BE77" s="38">
        <f t="shared" si="43"/>
        <v>768.85116106463272</v>
      </c>
      <c r="BF77" s="7"/>
      <c r="BG77" s="40">
        <v>2.414749159969114</v>
      </c>
      <c r="BH77" s="44">
        <v>2.3124225827815792</v>
      </c>
      <c r="BI77" s="44">
        <v>7.9663124770545215</v>
      </c>
      <c r="BJ77" s="38">
        <v>672.86131791822947</v>
      </c>
      <c r="BK77" s="38">
        <v>779.89078548889904</v>
      </c>
      <c r="BL77" s="38">
        <v>238.5</v>
      </c>
      <c r="BM77" s="40">
        <f t="shared" si="44"/>
        <v>3.1511163272172347</v>
      </c>
      <c r="BN77" s="7"/>
      <c r="BO77" s="39">
        <f t="shared" si="45"/>
        <v>96.344773663412838</v>
      </c>
      <c r="BP77" s="39">
        <f t="shared" si="56"/>
        <v>35.184398337021541</v>
      </c>
      <c r="BQ77" s="40">
        <f t="shared" si="57"/>
        <v>131.52917200043439</v>
      </c>
      <c r="BS77" s="41">
        <v>0</v>
      </c>
      <c r="BT77" s="41">
        <v>4.9885999999999999</v>
      </c>
      <c r="BU77" s="41">
        <v>0</v>
      </c>
      <c r="BV77" s="41">
        <v>0</v>
      </c>
      <c r="BW77" s="41">
        <v>0.74399999999999999</v>
      </c>
      <c r="BX77" s="41">
        <v>6.3940000000000004E-3</v>
      </c>
      <c r="BY77" s="42">
        <f t="shared" si="46"/>
        <v>5.7389939999999999</v>
      </c>
      <c r="BZ77" s="41">
        <v>0</v>
      </c>
      <c r="CA77" s="41">
        <v>2.9036</v>
      </c>
      <c r="CB77" s="41">
        <v>0</v>
      </c>
      <c r="CC77" s="41">
        <v>8.8038539999999994</v>
      </c>
      <c r="CD77" s="41">
        <v>6.6280000000000001</v>
      </c>
      <c r="CE77" s="41">
        <v>1.5644000000000002E-2</v>
      </c>
      <c r="CF77" s="42">
        <f t="shared" si="53"/>
        <v>18.351098</v>
      </c>
      <c r="CG77" s="7"/>
      <c r="CH77" s="41">
        <v>0</v>
      </c>
      <c r="CI77" s="41"/>
      <c r="CJ77" s="41"/>
      <c r="CK77" s="41">
        <v>70</v>
      </c>
      <c r="CL77" s="41"/>
      <c r="CM77" s="42">
        <f t="shared" si="54"/>
        <v>9.0747611863682032</v>
      </c>
      <c r="CN77" s="41">
        <v>9.9999999999999995E-8</v>
      </c>
      <c r="CO77" s="41"/>
      <c r="CP77" s="41">
        <v>120</v>
      </c>
      <c r="CQ77" s="41">
        <v>80</v>
      </c>
      <c r="CR77" s="41"/>
      <c r="CS77" s="42">
        <f t="shared" si="47"/>
        <v>86.46362631816362</v>
      </c>
      <c r="CU77" s="64">
        <v>40.082062094108458</v>
      </c>
      <c r="CV77" s="64">
        <v>5.1003943419732298</v>
      </c>
      <c r="CW77" s="64">
        <v>1.4200875699016273</v>
      </c>
      <c r="CX77" s="65">
        <v>0.41095708109732404</v>
      </c>
      <c r="CY77" s="66">
        <v>47.013501087080634</v>
      </c>
      <c r="DA77" s="42">
        <v>16500.827110215094</v>
      </c>
      <c r="DB77" s="40">
        <v>31.46770964959407</v>
      </c>
      <c r="DD77" s="42">
        <v>11183.567376118432</v>
      </c>
      <c r="DE77" s="39">
        <f t="shared" si="55"/>
        <v>13.83283120932915</v>
      </c>
      <c r="DF77" s="55">
        <f t="shared" si="48"/>
        <v>0.29423103766952657</v>
      </c>
      <c r="DH77" s="39"/>
      <c r="DI77" s="42"/>
      <c r="DK77" s="42"/>
      <c r="DL77" s="42"/>
      <c r="DN77" s="41"/>
      <c r="DO77" s="41"/>
      <c r="DQ77" s="39"/>
      <c r="DR77" s="39"/>
      <c r="DT77" s="56"/>
      <c r="DU77" s="56"/>
      <c r="DV77" s="55"/>
      <c r="DX77" s="39"/>
      <c r="DY77" s="39"/>
      <c r="DZ77" s="39"/>
      <c r="EA77" s="39"/>
      <c r="EB77" s="39"/>
      <c r="EC77" s="39"/>
      <c r="ED77" s="39"/>
      <c r="EE77" s="42"/>
      <c r="EF77" s="39"/>
      <c r="EG77" s="39"/>
      <c r="EH77" s="39"/>
      <c r="EI77" s="42"/>
      <c r="EJ77" s="39"/>
      <c r="EK77" s="39"/>
      <c r="EL77" s="39"/>
      <c r="EM77" s="39"/>
      <c r="EN77" s="42"/>
      <c r="EO77" s="39"/>
      <c r="EP77" s="72">
        <f t="shared" si="49"/>
        <v>12312.845381999998</v>
      </c>
    </row>
    <row r="78" spans="1:146" x14ac:dyDescent="0.4">
      <c r="A78" s="26">
        <v>2024</v>
      </c>
      <c r="B78" s="27">
        <v>45292</v>
      </c>
      <c r="C78" s="28">
        <f t="shared" si="35"/>
        <v>31</v>
      </c>
      <c r="D78" s="29">
        <v>811.43909677417878</v>
      </c>
      <c r="E78" s="29">
        <v>826.25</v>
      </c>
      <c r="F78" s="29">
        <v>74.152380952380966</v>
      </c>
      <c r="G78" s="29">
        <v>80.12409090909091</v>
      </c>
      <c r="H78" s="7"/>
      <c r="I78" s="30">
        <v>25.8</v>
      </c>
      <c r="J78" s="29">
        <v>30</v>
      </c>
      <c r="K78" s="29">
        <v>21.900000000000002</v>
      </c>
      <c r="L78" s="30">
        <v>24.6</v>
      </c>
      <c r="M78" s="22"/>
      <c r="N78" s="31">
        <v>6486.2249390000025</v>
      </c>
      <c r="O78" s="31">
        <v>3578.5722049999981</v>
      </c>
      <c r="P78" s="32">
        <f t="shared" si="50"/>
        <v>10064.797144</v>
      </c>
      <c r="Q78" s="31">
        <v>1119.7688939999998</v>
      </c>
      <c r="R78" s="31">
        <v>416.54929299999992</v>
      </c>
      <c r="S78" s="31">
        <v>1486.3110279999999</v>
      </c>
      <c r="T78" s="31">
        <v>2.7806219999999993</v>
      </c>
      <c r="U78" s="32">
        <f t="shared" si="51"/>
        <v>3022.6292149999999</v>
      </c>
      <c r="V78" s="32">
        <f t="shared" si="38"/>
        <v>13087.426359000001</v>
      </c>
      <c r="W78" s="33">
        <v>420.96241399999997</v>
      </c>
      <c r="X78" s="32">
        <f t="shared" si="39"/>
        <v>13508.388773000001</v>
      </c>
      <c r="Z78" s="32">
        <v>28719</v>
      </c>
      <c r="AB78" s="34">
        <v>7018.7280300000002</v>
      </c>
      <c r="AC78" s="34">
        <v>1138.5243270000001</v>
      </c>
      <c r="AD78" s="34">
        <v>5729.2546359999997</v>
      </c>
      <c r="AE78" s="34">
        <v>90.694179000000005</v>
      </c>
      <c r="AF78" s="32">
        <f t="shared" si="36"/>
        <v>13977.201171999999</v>
      </c>
      <c r="AH78" s="31">
        <v>3744.4479230000006</v>
      </c>
      <c r="AI78" s="31">
        <v>175.099739</v>
      </c>
      <c r="AJ78" s="31">
        <v>1332.3558959999998</v>
      </c>
      <c r="AK78" s="31">
        <v>380.65708599999994</v>
      </c>
      <c r="AL78" s="31">
        <v>55.696443000000002</v>
      </c>
      <c r="AM78" s="31">
        <v>40.997549000000006</v>
      </c>
      <c r="AN78" s="32">
        <f t="shared" si="37"/>
        <v>1984.8067129999997</v>
      </c>
      <c r="AO78" s="35">
        <f t="shared" si="40"/>
        <v>0.15165752674016628</v>
      </c>
      <c r="AQ78" s="30">
        <v>48.585559290322578</v>
      </c>
      <c r="AR78" s="36">
        <v>47.092052235404203</v>
      </c>
      <c r="AS78" s="36">
        <v>1.4861763403650181</v>
      </c>
      <c r="AT78" s="30">
        <v>0.88697700000000024</v>
      </c>
      <c r="AU78" s="30">
        <v>23.073683999999993</v>
      </c>
      <c r="AV78" s="30">
        <v>1.3629350000000002</v>
      </c>
      <c r="AW78" s="30">
        <f t="shared" si="41"/>
        <v>49.407465712442395</v>
      </c>
      <c r="AX78" s="7"/>
      <c r="AY78" s="36">
        <v>46.188166751533238</v>
      </c>
      <c r="AZ78" s="36">
        <v>1.4861763403650181</v>
      </c>
      <c r="BA78" s="36">
        <v>0.90388548387096757</v>
      </c>
      <c r="BB78" s="36">
        <v>0</v>
      </c>
      <c r="BC78" s="7"/>
      <c r="BD78" s="32">
        <f t="shared" si="42"/>
        <v>1833.0535129055284</v>
      </c>
      <c r="BE78" s="32">
        <f t="shared" si="43"/>
        <v>920.47784911999258</v>
      </c>
      <c r="BF78" s="7"/>
      <c r="BG78" s="30">
        <v>3.6300730453910472</v>
      </c>
      <c r="BH78" s="36">
        <v>3.1866291683234675</v>
      </c>
      <c r="BI78" s="36">
        <v>17.699260317276082</v>
      </c>
      <c r="BJ78" s="28">
        <v>692.80031505215004</v>
      </c>
      <c r="BK78" s="28">
        <v>725.90290150269141</v>
      </c>
      <c r="BL78" s="28">
        <v>238.5</v>
      </c>
      <c r="BM78" s="30">
        <v>3.8815088195198166</v>
      </c>
      <c r="BN78" s="7"/>
      <c r="BO78" s="29">
        <f t="shared" si="45"/>
        <v>202.49788905283353</v>
      </c>
      <c r="BP78" s="29">
        <f t="shared" si="56"/>
        <v>17.688812106500233</v>
      </c>
      <c r="BQ78" s="30">
        <f t="shared" si="57"/>
        <v>220.18670115933375</v>
      </c>
      <c r="BS78" s="31">
        <v>32.1023</v>
      </c>
      <c r="BT78" s="31">
        <v>350.50409999999999</v>
      </c>
      <c r="BU78" s="31">
        <v>0</v>
      </c>
      <c r="BV78" s="31">
        <v>0</v>
      </c>
      <c r="BW78" s="31">
        <v>38.315677999999998</v>
      </c>
      <c r="BX78" s="31">
        <v>4.0324000000000006E-2</v>
      </c>
      <c r="BY78" s="32">
        <f t="shared" si="46"/>
        <v>420.962402</v>
      </c>
      <c r="BZ78" s="31">
        <v>49.550199999999997</v>
      </c>
      <c r="CA78" s="31">
        <v>0</v>
      </c>
      <c r="CB78" s="31">
        <v>16.858134999999997</v>
      </c>
      <c r="CC78" s="31">
        <v>10.257288000000001</v>
      </c>
      <c r="CD78" s="31">
        <v>2.9809999999999999</v>
      </c>
      <c r="CE78" s="31">
        <v>11.047527000000001</v>
      </c>
      <c r="CF78" s="32">
        <f t="shared" si="53"/>
        <v>90.694149999999993</v>
      </c>
      <c r="CG78" s="7"/>
      <c r="CH78" s="31">
        <v>6.4659424996777108</v>
      </c>
      <c r="CI78" s="31"/>
      <c r="CJ78" s="31"/>
      <c r="CK78" s="31">
        <v>80</v>
      </c>
      <c r="CL78" s="31">
        <v>0</v>
      </c>
      <c r="CM78" s="32">
        <f t="shared" si="54"/>
        <v>7.7746274972732685</v>
      </c>
      <c r="CN78" s="31">
        <v>101.6162695623465</v>
      </c>
      <c r="CO78" s="31">
        <v>13</v>
      </c>
      <c r="CP78" s="31">
        <v>120</v>
      </c>
      <c r="CQ78" s="31">
        <v>80</v>
      </c>
      <c r="CR78" s="31">
        <v>54.609000000000002</v>
      </c>
      <c r="CS78" s="32">
        <f t="shared" si="47"/>
        <v>80.787031986199565</v>
      </c>
      <c r="CU78" s="61">
        <v>57.170091317661388</v>
      </c>
      <c r="CV78" s="61">
        <v>5.1575340497211322</v>
      </c>
      <c r="CW78" s="61">
        <v>1.8010259509810453</v>
      </c>
      <c r="CX78" s="62">
        <v>0.36275546100328682</v>
      </c>
      <c r="CY78" s="63">
        <v>64.491406779366855</v>
      </c>
      <c r="DA78" s="32">
        <v>22999.771370967719</v>
      </c>
      <c r="DB78" s="30">
        <v>28.321797197582185</v>
      </c>
      <c r="DD78" s="50">
        <v>11117.858909556377</v>
      </c>
      <c r="DE78" s="29">
        <f t="shared" si="55"/>
        <v>13.455805034258852</v>
      </c>
      <c r="DF78" s="51">
        <f t="shared" si="48"/>
        <v>0.20864492970812124</v>
      </c>
      <c r="DH78" s="33"/>
      <c r="DI78" s="32"/>
      <c r="DK78" s="50"/>
      <c r="DL78" s="50"/>
      <c r="DN78" s="31"/>
      <c r="DO78" s="31"/>
      <c r="DQ78" s="29"/>
      <c r="DR78" s="29"/>
      <c r="DT78" s="54"/>
      <c r="DU78" s="54"/>
      <c r="DV78" s="51"/>
      <c r="DX78" s="33"/>
      <c r="DY78" s="33"/>
      <c r="DZ78" s="33"/>
      <c r="EA78" s="33"/>
      <c r="EB78" s="33"/>
      <c r="EC78" s="33"/>
      <c r="ED78" s="33"/>
      <c r="EE78" s="32"/>
      <c r="EF78" s="33"/>
      <c r="EG78" s="33"/>
      <c r="EH78" s="33"/>
      <c r="EI78" s="32"/>
      <c r="EJ78" s="33"/>
      <c r="EK78" s="33"/>
      <c r="EL78" s="33"/>
      <c r="EM78" s="33"/>
      <c r="EN78" s="32"/>
      <c r="EO78" s="32"/>
      <c r="EP78" s="70">
        <f t="shared" si="49"/>
        <v>13977.201171999999</v>
      </c>
    </row>
    <row r="79" spans="1:146" x14ac:dyDescent="0.4">
      <c r="A79" s="22">
        <v>2024</v>
      </c>
      <c r="B79" s="37">
        <v>45323</v>
      </c>
      <c r="C79" s="38">
        <f t="shared" si="35"/>
        <v>29</v>
      </c>
      <c r="D79" s="39">
        <v>826.16724137930953</v>
      </c>
      <c r="E79" s="39">
        <v>842.25</v>
      </c>
      <c r="F79" s="39">
        <v>76.854117647058828</v>
      </c>
      <c r="G79" s="39">
        <v>83.36611111111111</v>
      </c>
      <c r="H79" s="7"/>
      <c r="I79" s="40">
        <v>26.3</v>
      </c>
      <c r="J79" s="39">
        <v>31.7</v>
      </c>
      <c r="K79" s="39">
        <v>18.7</v>
      </c>
      <c r="L79" s="40">
        <v>23.6</v>
      </c>
      <c r="M79" s="22"/>
      <c r="N79" s="41">
        <v>6343.1356529999975</v>
      </c>
      <c r="O79" s="41">
        <v>3461.073969</v>
      </c>
      <c r="P79" s="42">
        <f t="shared" si="50"/>
        <v>9804.2096219999985</v>
      </c>
      <c r="Q79" s="41">
        <v>1157.4618780000005</v>
      </c>
      <c r="R79" s="41">
        <v>454.61660300000011</v>
      </c>
      <c r="S79" s="41">
        <v>1434.2298839999999</v>
      </c>
      <c r="T79" s="41">
        <v>0.6061310000000002</v>
      </c>
      <c r="U79" s="42">
        <f t="shared" si="51"/>
        <v>3046.3083650000008</v>
      </c>
      <c r="V79" s="42">
        <f t="shared" si="38"/>
        <v>12850.517986999999</v>
      </c>
      <c r="W79" s="39">
        <v>64.807534000000004</v>
      </c>
      <c r="X79" s="42">
        <f t="shared" si="39"/>
        <v>12915.325520999999</v>
      </c>
      <c r="Z79" s="42">
        <v>29653</v>
      </c>
      <c r="AB79" s="41">
        <v>7446.8694689999993</v>
      </c>
      <c r="AC79" s="41">
        <v>990.164175</v>
      </c>
      <c r="AD79" s="41">
        <v>4574.9345700000003</v>
      </c>
      <c r="AE79" s="41">
        <v>402.772311</v>
      </c>
      <c r="AF79" s="42">
        <f t="shared" si="36"/>
        <v>13414.740525000001</v>
      </c>
      <c r="AH79" s="41">
        <v>2866.3149800000001</v>
      </c>
      <c r="AI79" s="41">
        <v>151.546043</v>
      </c>
      <c r="AJ79" s="41">
        <v>1161.9318840000003</v>
      </c>
      <c r="AK79" s="41">
        <v>302.2387579999999</v>
      </c>
      <c r="AL79" s="41">
        <v>54.042973000000003</v>
      </c>
      <c r="AM79" s="41">
        <v>38.859931999999993</v>
      </c>
      <c r="AN79" s="42">
        <f t="shared" si="37"/>
        <v>1708.6195900000005</v>
      </c>
      <c r="AO79" s="43">
        <f t="shared" si="40"/>
        <v>0.1329611453583813</v>
      </c>
      <c r="AQ79" s="40">
        <v>53.920822724137928</v>
      </c>
      <c r="AR79" s="44">
        <v>51.7863066133066</v>
      </c>
      <c r="AS79" s="44">
        <v>2.105556819655332</v>
      </c>
      <c r="AT79" s="40">
        <v>8.8171710000000019</v>
      </c>
      <c r="AU79" s="40">
        <v>62.23262499999997</v>
      </c>
      <c r="AV79" s="40">
        <v>21.625414999999997</v>
      </c>
      <c r="AW79" s="40">
        <f t="shared" si="41"/>
        <v>56.946854905172408</v>
      </c>
      <c r="AX79" s="7"/>
      <c r="AY79" s="44">
        <v>50.833270406410051</v>
      </c>
      <c r="AZ79" s="44">
        <v>2.105556819655332</v>
      </c>
      <c r="BA79" s="44">
        <v>0.95303620689655166</v>
      </c>
      <c r="BB79" s="44">
        <v>0</v>
      </c>
      <c r="BC79" s="7"/>
      <c r="BD79" s="38">
        <f t="shared" si="42"/>
        <v>1862.8302688327944</v>
      </c>
      <c r="BE79" s="38">
        <f t="shared" si="43"/>
        <v>1034.105268681669</v>
      </c>
      <c r="BF79" s="7"/>
      <c r="BG79" s="40">
        <v>3.7297810518931724</v>
      </c>
      <c r="BH79" s="44">
        <v>3.1615495785210164</v>
      </c>
      <c r="BI79" s="44">
        <v>17.75676946995948</v>
      </c>
      <c r="BJ79" s="38">
        <v>691.49752731033118</v>
      </c>
      <c r="BK79" s="38">
        <v>715.44400061978183</v>
      </c>
      <c r="BL79" s="38">
        <v>238.5</v>
      </c>
      <c r="BM79" s="40">
        <v>4.4435242297738258</v>
      </c>
      <c r="BN79" s="7"/>
      <c r="BO79" s="39">
        <f t="shared" si="45"/>
        <v>216.01011200260859</v>
      </c>
      <c r="BP79" s="39">
        <f t="shared" si="56"/>
        <v>55.778671620942987</v>
      </c>
      <c r="BQ79" s="40">
        <f t="shared" si="57"/>
        <v>271.78878362355158</v>
      </c>
      <c r="BS79" s="41">
        <v>0</v>
      </c>
      <c r="BT79" s="41">
        <v>64.696100000000001</v>
      </c>
      <c r="BU79" s="41">
        <v>0</v>
      </c>
      <c r="BV79" s="41">
        <v>0</v>
      </c>
      <c r="BW79" s="41">
        <v>7.5999999999999998E-2</v>
      </c>
      <c r="BX79" s="41">
        <v>3.5417999999999998E-2</v>
      </c>
      <c r="BY79" s="42">
        <f t="shared" si="46"/>
        <v>64.807518000000002</v>
      </c>
      <c r="BZ79" s="41">
        <v>282.94380000000001</v>
      </c>
      <c r="CA79" s="41">
        <v>0</v>
      </c>
      <c r="CB79" s="41">
        <v>11.566846999999999</v>
      </c>
      <c r="CC79" s="41">
        <v>8.5977720000000009</v>
      </c>
      <c r="CD79" s="41">
        <v>74.456000000000003</v>
      </c>
      <c r="CE79" s="41">
        <v>25.207848000000002</v>
      </c>
      <c r="CF79" s="42">
        <f t="shared" si="53"/>
        <v>402.77226700000006</v>
      </c>
      <c r="CG79" s="7"/>
      <c r="CH79" s="41">
        <v>0</v>
      </c>
      <c r="CI79" s="41"/>
      <c r="CJ79" s="41"/>
      <c r="CK79" s="41">
        <v>190</v>
      </c>
      <c r="CL79" s="41">
        <v>53.301654525947257</v>
      </c>
      <c r="CM79" s="42">
        <f t="shared" si="54"/>
        <v>0.25194357852124499</v>
      </c>
      <c r="CN79" s="41">
        <v>90.089815885033417</v>
      </c>
      <c r="CO79" s="41">
        <v>20.003183235673475</v>
      </c>
      <c r="CP79" s="41">
        <v>120</v>
      </c>
      <c r="CQ79" s="41">
        <v>46.188869936606856</v>
      </c>
      <c r="CR79" s="41">
        <v>56.126429753146716</v>
      </c>
      <c r="CS79" s="42">
        <f t="shared" si="47"/>
        <v>78.474435425345987</v>
      </c>
      <c r="CU79" s="64">
        <v>52.297931194696716</v>
      </c>
      <c r="CV79" s="64">
        <v>6.3844276479797868</v>
      </c>
      <c r="CW79" s="64">
        <v>2.3427520974398424</v>
      </c>
      <c r="CX79" s="65">
        <v>1.4748890598836537</v>
      </c>
      <c r="CY79" s="66">
        <v>62.499999999999993</v>
      </c>
      <c r="DA79" s="42">
        <v>39106.589051724135</v>
      </c>
      <c r="DB79" s="40">
        <v>47.382375691198561</v>
      </c>
      <c r="DD79" s="42">
        <v>31366.087407107574</v>
      </c>
      <c r="DE79" s="39">
        <f t="shared" si="55"/>
        <v>37.240828028622822</v>
      </c>
      <c r="DF79" s="55">
        <f t="shared" si="48"/>
        <v>0.59585324845796517</v>
      </c>
      <c r="DH79" s="39"/>
      <c r="DI79" s="42"/>
      <c r="DK79" s="42"/>
      <c r="DL79" s="42"/>
      <c r="DN79" s="41"/>
      <c r="DO79" s="41"/>
      <c r="DQ79" s="39"/>
      <c r="DR79" s="39"/>
      <c r="DT79" s="56"/>
      <c r="DU79" s="56"/>
      <c r="DV79" s="55"/>
      <c r="DX79" s="39"/>
      <c r="DY79" s="39"/>
      <c r="DZ79" s="39"/>
      <c r="EA79" s="39"/>
      <c r="EB79" s="39"/>
      <c r="EC79" s="39"/>
      <c r="ED79" s="39"/>
      <c r="EE79" s="42"/>
      <c r="EF79" s="39"/>
      <c r="EG79" s="39"/>
      <c r="EH79" s="39"/>
      <c r="EI79" s="42"/>
      <c r="EJ79" s="39"/>
      <c r="EK79" s="39"/>
      <c r="EL79" s="39"/>
      <c r="EM79" s="39"/>
      <c r="EN79" s="42"/>
      <c r="EO79" s="39"/>
      <c r="EP79" s="72">
        <f t="shared" si="49"/>
        <v>13414.740525000001</v>
      </c>
    </row>
    <row r="80" spans="1:146" x14ac:dyDescent="0.4">
      <c r="A80" s="26">
        <v>2024</v>
      </c>
      <c r="B80" s="27">
        <v>45352</v>
      </c>
      <c r="C80" s="28">
        <f t="shared" si="35"/>
        <v>31</v>
      </c>
      <c r="D80" s="29">
        <v>842.95967741935613</v>
      </c>
      <c r="E80" s="29">
        <v>857.41669999999999</v>
      </c>
      <c r="F80" s="29">
        <v>81.278000000000006</v>
      </c>
      <c r="G80" s="29">
        <v>85.408500000000004</v>
      </c>
      <c r="H80" s="7"/>
      <c r="I80" s="30">
        <v>23.3</v>
      </c>
      <c r="J80" s="29">
        <v>27.1</v>
      </c>
      <c r="K80" s="29">
        <v>16.5</v>
      </c>
      <c r="L80" s="30">
        <v>21.6</v>
      </c>
      <c r="M80" s="22"/>
      <c r="N80" s="31">
        <v>5484.6096579999994</v>
      </c>
      <c r="O80" s="31">
        <v>3389.4589590000014</v>
      </c>
      <c r="P80" s="32">
        <f t="shared" si="50"/>
        <v>8874.0686170000008</v>
      </c>
      <c r="Q80" s="31">
        <v>1144.6520059999998</v>
      </c>
      <c r="R80" s="31">
        <v>429.46325599999994</v>
      </c>
      <c r="S80" s="31">
        <v>1508.0319890000014</v>
      </c>
      <c r="T80" s="31">
        <v>0.41097300000000003</v>
      </c>
      <c r="U80" s="32">
        <f t="shared" si="51"/>
        <v>3082.1472510000012</v>
      </c>
      <c r="V80" s="32">
        <f t="shared" si="38"/>
        <v>11956.215868000003</v>
      </c>
      <c r="W80" s="33">
        <v>50.589044999999999</v>
      </c>
      <c r="X80" s="32">
        <f t="shared" si="39"/>
        <v>12006.804913000004</v>
      </c>
      <c r="Z80" s="32">
        <v>24053</v>
      </c>
      <c r="AB80" s="34">
        <v>6889.8119749999996</v>
      </c>
      <c r="AC80" s="34">
        <v>1096.784582</v>
      </c>
      <c r="AD80" s="34">
        <v>4401.2066949999999</v>
      </c>
      <c r="AE80" s="34">
        <v>75.890479999999997</v>
      </c>
      <c r="AF80" s="32">
        <f t="shared" si="36"/>
        <v>12463.693732</v>
      </c>
      <c r="AH80" s="31">
        <v>2444.500528</v>
      </c>
      <c r="AI80" s="31">
        <v>153.75298099999998</v>
      </c>
      <c r="AJ80" s="31">
        <v>1370.9694609999999</v>
      </c>
      <c r="AK80" s="31">
        <v>331.84640899999999</v>
      </c>
      <c r="AL80" s="31">
        <v>57.892674</v>
      </c>
      <c r="AM80" s="31">
        <v>42.244642000000006</v>
      </c>
      <c r="AN80" s="32">
        <f t="shared" si="37"/>
        <v>1956.7061669999998</v>
      </c>
      <c r="AO80" s="35">
        <f t="shared" si="40"/>
        <v>0.16365597515155197</v>
      </c>
      <c r="AQ80" s="30">
        <v>47.466975096774199</v>
      </c>
      <c r="AR80" s="36">
        <v>46.903998940197688</v>
      </c>
      <c r="AS80" s="36">
        <v>0.48254290005270167</v>
      </c>
      <c r="AT80" s="30">
        <v>1.4170359999999997</v>
      </c>
      <c r="AU80" s="30">
        <v>30.094650999999985</v>
      </c>
      <c r="AV80" s="30">
        <v>0</v>
      </c>
      <c r="AW80" s="30">
        <f t="shared" si="41"/>
        <v>48.511902356298009</v>
      </c>
      <c r="AX80" s="7"/>
      <c r="AY80" s="36">
        <v>45.867915069229944</v>
      </c>
      <c r="AZ80" s="36">
        <v>0.48254290005270167</v>
      </c>
      <c r="BA80" s="36">
        <v>1.0360838709677418</v>
      </c>
      <c r="BB80" s="36">
        <v>0</v>
      </c>
      <c r="BC80" s="7"/>
      <c r="BD80" s="32">
        <f t="shared" si="42"/>
        <v>1833.5042261556061</v>
      </c>
      <c r="BE80" s="32">
        <f t="shared" si="43"/>
        <v>1013.5437892818725</v>
      </c>
      <c r="BF80" s="7"/>
      <c r="BG80" s="30">
        <v>3.2681785567313661</v>
      </c>
      <c r="BH80" s="36">
        <v>3.1300161175576506</v>
      </c>
      <c r="BI80" s="36">
        <v>17.242565381326408</v>
      </c>
      <c r="BJ80" s="28">
        <v>685.6601601204826</v>
      </c>
      <c r="BK80" s="28">
        <v>672.13312475767304</v>
      </c>
      <c r="BL80" s="28">
        <v>238.5</v>
      </c>
      <c r="BM80" s="30">
        <v>3.5783874852664339</v>
      </c>
      <c r="BN80" s="7"/>
      <c r="BO80" s="29">
        <f t="shared" si="45"/>
        <v>178.11285389220575</v>
      </c>
      <c r="BP80" s="29">
        <f t="shared" si="56"/>
        <v>21.199216945778105</v>
      </c>
      <c r="BQ80" s="30">
        <f t="shared" si="57"/>
        <v>199.31207083798387</v>
      </c>
      <c r="BS80" s="31">
        <v>12.7943</v>
      </c>
      <c r="BT80" s="31">
        <v>37.792699999999996</v>
      </c>
      <c r="BU80" s="31">
        <v>0</v>
      </c>
      <c r="BV80" s="31">
        <v>0</v>
      </c>
      <c r="BW80" s="31">
        <v>0</v>
      </c>
      <c r="BX80" s="31">
        <v>2E-3</v>
      </c>
      <c r="BY80" s="32">
        <f t="shared" si="46"/>
        <v>50.588999999999999</v>
      </c>
      <c r="BZ80" s="31">
        <v>0</v>
      </c>
      <c r="CA80" s="31">
        <v>2.4009</v>
      </c>
      <c r="CB80" s="31">
        <v>11.320829999999999</v>
      </c>
      <c r="CC80" s="31">
        <v>9.9622980000000005</v>
      </c>
      <c r="CD80" s="31">
        <v>52.189</v>
      </c>
      <c r="CE80" s="31">
        <v>1.7439E-2</v>
      </c>
      <c r="CF80" s="32">
        <f t="shared" si="53"/>
        <v>75.890467000000001</v>
      </c>
      <c r="CG80" s="7"/>
      <c r="CH80" s="31">
        <v>107.31575783960551</v>
      </c>
      <c r="CI80" s="31"/>
      <c r="CJ80" s="31"/>
      <c r="CK80" s="31">
        <v>0</v>
      </c>
      <c r="CL80" s="31">
        <v>0</v>
      </c>
      <c r="CM80" s="32">
        <f t="shared" si="54"/>
        <v>27.140880438974179</v>
      </c>
      <c r="CN80" s="31"/>
      <c r="CO80" s="31">
        <v>20.9</v>
      </c>
      <c r="CP80" s="31">
        <v>120</v>
      </c>
      <c r="CQ80" s="31">
        <v>33.939314798137538</v>
      </c>
      <c r="CR80" s="31"/>
      <c r="CS80" s="32">
        <f t="shared" si="47"/>
        <v>42.210044734604146</v>
      </c>
      <c r="CU80" s="61">
        <v>51.450477842102828</v>
      </c>
      <c r="CV80" s="61">
        <v>6.3940420978566221</v>
      </c>
      <c r="CW80" s="61">
        <v>2.3174241501201536</v>
      </c>
      <c r="CX80" s="62">
        <v>1.8880008680421161</v>
      </c>
      <c r="CY80" s="63">
        <v>62.049944958121714</v>
      </c>
      <c r="DA80" s="32">
        <v>28682.770362903215</v>
      </c>
      <c r="DB80" s="30">
        <v>34.034094880860863</v>
      </c>
      <c r="DD80" s="50">
        <v>32720.862351767766</v>
      </c>
      <c r="DE80" s="29">
        <f t="shared" si="55"/>
        <v>38.162147240388208</v>
      </c>
      <c r="DF80" s="51">
        <f t="shared" si="48"/>
        <v>0.61502306353606473</v>
      </c>
      <c r="DH80" s="33"/>
      <c r="DI80" s="32"/>
      <c r="DK80" s="50"/>
      <c r="DL80" s="50"/>
      <c r="DN80" s="31"/>
      <c r="DO80" s="31"/>
      <c r="DQ80" s="29"/>
      <c r="DR80" s="29"/>
      <c r="DT80" s="54"/>
      <c r="DU80" s="54"/>
      <c r="DV80" s="51"/>
      <c r="DX80" s="33"/>
      <c r="DY80" s="33"/>
      <c r="DZ80" s="33"/>
      <c r="EA80" s="33"/>
      <c r="EB80" s="33"/>
      <c r="EC80" s="33"/>
      <c r="ED80" s="33"/>
      <c r="EE80" s="32"/>
      <c r="EF80" s="33"/>
      <c r="EG80" s="33"/>
      <c r="EH80" s="33"/>
      <c r="EI80" s="32"/>
      <c r="EJ80" s="33"/>
      <c r="EK80" s="33"/>
      <c r="EL80" s="33"/>
      <c r="EM80" s="33"/>
      <c r="EN80" s="32"/>
      <c r="EO80" s="32"/>
      <c r="EP80" s="70">
        <f t="shared" si="49"/>
        <v>12463.693732</v>
      </c>
    </row>
    <row r="81" spans="1:146" x14ac:dyDescent="0.4">
      <c r="A81" s="22">
        <v>2024</v>
      </c>
      <c r="B81" s="37">
        <v>45383</v>
      </c>
      <c r="C81" s="38">
        <f t="shared" si="35"/>
        <v>30</v>
      </c>
      <c r="D81" s="39">
        <v>861.05</v>
      </c>
      <c r="E81" s="39">
        <v>876.75</v>
      </c>
      <c r="F81" s="39">
        <v>85.435714285714283</v>
      </c>
      <c r="G81" s="39">
        <v>90.023499999999984</v>
      </c>
      <c r="H81" s="7"/>
      <c r="I81" s="40">
        <v>18.739999999999998</v>
      </c>
      <c r="J81" s="39">
        <v>23.15</v>
      </c>
      <c r="K81" s="39">
        <v>14.25</v>
      </c>
      <c r="L81" s="40">
        <v>17.899999999999999</v>
      </c>
      <c r="M81" s="22"/>
      <c r="N81" s="41">
        <v>4253.0206700000008</v>
      </c>
      <c r="O81" s="41">
        <v>2919.3922949999992</v>
      </c>
      <c r="P81" s="42">
        <f t="shared" si="50"/>
        <v>7172.4129649999995</v>
      </c>
      <c r="Q81" s="41">
        <v>1013.7438260000002</v>
      </c>
      <c r="R81" s="41">
        <v>386.906567</v>
      </c>
      <c r="S81" s="41">
        <v>1430.4485829999994</v>
      </c>
      <c r="T81" s="41">
        <v>1.4092760000000004</v>
      </c>
      <c r="U81" s="42">
        <f t="shared" si="51"/>
        <v>2831.0989759999998</v>
      </c>
      <c r="V81" s="42">
        <f t="shared" si="38"/>
        <v>10003.511940999999</v>
      </c>
      <c r="W81" s="39">
        <v>128.14041499999999</v>
      </c>
      <c r="X81" s="42">
        <f t="shared" si="39"/>
        <v>10131.652355999999</v>
      </c>
      <c r="Z81" s="42">
        <v>19122</v>
      </c>
      <c r="AB81" s="41">
        <v>5236.9361689999996</v>
      </c>
      <c r="AC81" s="41">
        <v>1114.427531</v>
      </c>
      <c r="AD81" s="41">
        <v>4145.9679489999999</v>
      </c>
      <c r="AE81" s="41">
        <v>18.152313999999997</v>
      </c>
      <c r="AF81" s="42">
        <f t="shared" si="36"/>
        <v>10515.483963000001</v>
      </c>
      <c r="AH81" s="41">
        <v>2289.5426940000002</v>
      </c>
      <c r="AI81" s="41">
        <v>126.42267400000001</v>
      </c>
      <c r="AJ81" s="41">
        <v>1376.3398129999998</v>
      </c>
      <c r="AK81" s="41">
        <v>283.30243399999995</v>
      </c>
      <c r="AL81" s="41">
        <v>28.863632999999997</v>
      </c>
      <c r="AM81" s="41">
        <v>41.496701000000002</v>
      </c>
      <c r="AN81" s="42">
        <f t="shared" si="37"/>
        <v>1856.4252549999997</v>
      </c>
      <c r="AO81" s="43">
        <f t="shared" si="40"/>
        <v>0.18557735182894403</v>
      </c>
      <c r="AQ81" s="40">
        <v>36.298677833333336</v>
      </c>
      <c r="AR81" s="44">
        <v>35.400120634661391</v>
      </c>
      <c r="AS81" s="44">
        <v>0.89855719867200712</v>
      </c>
      <c r="AT81" s="40">
        <v>2.7920000000000002E-3</v>
      </c>
      <c r="AU81" s="40">
        <v>4.7528590000000026</v>
      </c>
      <c r="AV81" s="40">
        <v>0</v>
      </c>
      <c r="AW81" s="40">
        <f t="shared" si="41"/>
        <v>36.460609943730162</v>
      </c>
      <c r="AX81" s="7"/>
      <c r="AY81" s="44">
        <v>34.342082301328055</v>
      </c>
      <c r="AZ81" s="44">
        <v>0.89855719867200712</v>
      </c>
      <c r="BA81" s="44">
        <v>1.0580383333333332</v>
      </c>
      <c r="BB81" s="44">
        <v>0</v>
      </c>
      <c r="BC81" s="7"/>
      <c r="BD81" s="38">
        <f t="shared" si="42"/>
        <v>1754.4750230504485</v>
      </c>
      <c r="BE81" s="38">
        <f t="shared" si="43"/>
        <v>873.7661279451662</v>
      </c>
      <c r="BF81" s="7"/>
      <c r="BG81" s="40">
        <v>3.5601600819709134</v>
      </c>
      <c r="BH81" s="44">
        <v>3.2130329455147577</v>
      </c>
      <c r="BI81" s="44">
        <v>17.235797564229706</v>
      </c>
      <c r="BJ81" s="38">
        <v>688.38255070353557</v>
      </c>
      <c r="BK81" s="38">
        <v>659.02943830631784</v>
      </c>
      <c r="BL81" s="38">
        <v>238.5</v>
      </c>
      <c r="BM81" s="40">
        <v>3.6217134167373946</v>
      </c>
      <c r="BN81" s="7"/>
      <c r="BO81" s="39">
        <f t="shared" si="45"/>
        <v>143.58789316728416</v>
      </c>
      <c r="BP81" s="39">
        <f t="shared" si="56"/>
        <v>3.1341959612006929</v>
      </c>
      <c r="BQ81" s="40">
        <f t="shared" si="57"/>
        <v>146.72208912848487</v>
      </c>
      <c r="BS81" s="41">
        <v>27.2227</v>
      </c>
      <c r="BT81" s="41">
        <v>100.9075</v>
      </c>
      <c r="BU81" s="41">
        <v>0</v>
      </c>
      <c r="BV81" s="41">
        <v>0</v>
      </c>
      <c r="BW81" s="41">
        <v>0</v>
      </c>
      <c r="BX81" s="41">
        <v>1.0215E-2</v>
      </c>
      <c r="BY81" s="42">
        <f t="shared" si="46"/>
        <v>128.14041499999999</v>
      </c>
      <c r="BZ81" s="41">
        <v>0</v>
      </c>
      <c r="CA81" s="41">
        <v>0</v>
      </c>
      <c r="CB81" s="41">
        <v>6.9613990000000001</v>
      </c>
      <c r="CC81" s="41">
        <v>11.17848</v>
      </c>
      <c r="CD81" s="41">
        <v>0</v>
      </c>
      <c r="CE81" s="41">
        <v>1.2435E-2</v>
      </c>
      <c r="CF81" s="42">
        <f t="shared" si="53"/>
        <v>18.152314000000001</v>
      </c>
      <c r="CG81" s="7"/>
      <c r="CH81" s="41">
        <v>12.00985411714022</v>
      </c>
      <c r="CI81" s="41"/>
      <c r="CJ81" s="41"/>
      <c r="CK81" s="41">
        <v>0</v>
      </c>
      <c r="CL81" s="41">
        <v>0</v>
      </c>
      <c r="CM81" s="42">
        <f t="shared" si="54"/>
        <v>2.5514249791892203</v>
      </c>
      <c r="CN81" s="41"/>
      <c r="CO81" s="41">
        <v>20.440000000000001</v>
      </c>
      <c r="CP81" s="41">
        <v>120</v>
      </c>
      <c r="CQ81" s="41"/>
      <c r="CR81" s="41"/>
      <c r="CS81" s="42">
        <f t="shared" si="47"/>
        <v>81.736609203653046</v>
      </c>
      <c r="CU81" s="64">
        <v>56.258909676256877</v>
      </c>
      <c r="CV81" s="64">
        <v>7.6611645532901624</v>
      </c>
      <c r="CW81" s="64">
        <v>2.0404205170501628</v>
      </c>
      <c r="CX81" s="65">
        <v>2.0395052534027824</v>
      </c>
      <c r="CY81" s="66">
        <v>67.999999999999986</v>
      </c>
      <c r="DA81" s="42">
        <v>25047.536472222237</v>
      </c>
      <c r="DB81" s="40">
        <v>29.063832769527874</v>
      </c>
      <c r="DD81" s="42">
        <v>34356.731898686645</v>
      </c>
      <c r="DE81" s="39">
        <f t="shared" si="55"/>
        <v>39.18646352858471</v>
      </c>
      <c r="DF81" s="55">
        <f t="shared" si="48"/>
        <v>0.576271522479187</v>
      </c>
      <c r="DH81" s="39"/>
      <c r="DI81" s="42"/>
      <c r="DK81" s="42"/>
      <c r="DL81" s="42"/>
      <c r="DN81" s="41"/>
      <c r="DO81" s="41"/>
      <c r="DQ81" s="39"/>
      <c r="DR81" s="39"/>
      <c r="DT81" s="56"/>
      <c r="DU81" s="56"/>
      <c r="DV81" s="55"/>
      <c r="DX81" s="39"/>
      <c r="DY81" s="39"/>
      <c r="DZ81" s="39"/>
      <c r="EA81" s="39"/>
      <c r="EB81" s="39"/>
      <c r="EC81" s="39"/>
      <c r="ED81" s="39"/>
      <c r="EE81" s="42"/>
      <c r="EF81" s="39"/>
      <c r="EG81" s="39"/>
      <c r="EH81" s="39"/>
      <c r="EI81" s="42"/>
      <c r="EJ81" s="39"/>
      <c r="EK81" s="39"/>
      <c r="EL81" s="39"/>
      <c r="EM81" s="39"/>
      <c r="EN81" s="42"/>
      <c r="EO81" s="39"/>
      <c r="EP81" s="72">
        <f t="shared" si="49"/>
        <v>10515.483963000001</v>
      </c>
    </row>
    <row r="82" spans="1:146" x14ac:dyDescent="0.4">
      <c r="A82" s="26">
        <v>2024</v>
      </c>
      <c r="B82" s="27">
        <v>45413</v>
      </c>
      <c r="C82" s="28">
        <f t="shared" si="35"/>
        <v>31</v>
      </c>
      <c r="D82" s="29">
        <v>877.15322580645159</v>
      </c>
      <c r="E82" s="29">
        <v>895.25</v>
      </c>
      <c r="F82" s="29">
        <v>80.177368421052662</v>
      </c>
      <c r="G82" s="29">
        <v>81.907777777777781</v>
      </c>
      <c r="H82" s="7"/>
      <c r="I82" s="30">
        <v>12.682258064516128</v>
      </c>
      <c r="J82" s="29">
        <v>19.75</v>
      </c>
      <c r="K82" s="29">
        <v>7.45</v>
      </c>
      <c r="L82" s="30">
        <v>14.6</v>
      </c>
      <c r="M82" s="22"/>
      <c r="N82" s="31">
        <v>6041.5150540000004</v>
      </c>
      <c r="O82" s="31">
        <v>3123.094118</v>
      </c>
      <c r="P82" s="32">
        <f t="shared" si="50"/>
        <v>9164.6091720000004</v>
      </c>
      <c r="Q82" s="31">
        <v>1078.0036570000007</v>
      </c>
      <c r="R82" s="31">
        <v>376.84243900000007</v>
      </c>
      <c r="S82" s="31">
        <v>1592.4799139999993</v>
      </c>
      <c r="T82" s="31">
        <v>1.4032690000000005</v>
      </c>
      <c r="U82" s="32">
        <f t="shared" si="51"/>
        <v>3047.3260099999998</v>
      </c>
      <c r="V82" s="32">
        <f t="shared" si="38"/>
        <v>12211.935182000001</v>
      </c>
      <c r="W82" s="33">
        <v>2.8907600000000002</v>
      </c>
      <c r="X82" s="32">
        <f t="shared" si="39"/>
        <v>12214.825942000001</v>
      </c>
      <c r="Z82" s="32">
        <v>25104</v>
      </c>
      <c r="AB82" s="34">
        <v>6309.0368660000004</v>
      </c>
      <c r="AC82" s="34">
        <v>1129.0207409999998</v>
      </c>
      <c r="AD82" s="34">
        <v>4822.3032470000007</v>
      </c>
      <c r="AE82" s="34">
        <v>438.77989200000002</v>
      </c>
      <c r="AF82" s="32">
        <f t="shared" si="36"/>
        <v>12699.140746000003</v>
      </c>
      <c r="AH82" s="31">
        <v>3306.4160439999996</v>
      </c>
      <c r="AI82" s="31">
        <v>77.977400000000003</v>
      </c>
      <c r="AJ82" s="31">
        <v>1109.3542760000003</v>
      </c>
      <c r="AK82" s="31">
        <v>233.645016</v>
      </c>
      <c r="AL82" s="31">
        <v>49.415395999999994</v>
      </c>
      <c r="AM82" s="31">
        <v>45.495115000000013</v>
      </c>
      <c r="AN82" s="32">
        <f t="shared" si="37"/>
        <v>1515.8872030000002</v>
      </c>
      <c r="AO82" s="35">
        <f t="shared" si="40"/>
        <v>0.1241316122635804</v>
      </c>
      <c r="AQ82" s="30">
        <v>32.897028032258078</v>
      </c>
      <c r="AR82" s="36">
        <v>30.622623906347414</v>
      </c>
      <c r="AS82" s="36">
        <v>2.2700055947009021</v>
      </c>
      <c r="AT82" s="30">
        <v>96.283163999999985</v>
      </c>
      <c r="AU82" s="30">
        <v>249.43711799999997</v>
      </c>
      <c r="AV82" s="30">
        <v>67.046910999999994</v>
      </c>
      <c r="AW82" s="30">
        <f t="shared" si="41"/>
        <v>46.129742314285721</v>
      </c>
      <c r="AX82" s="7"/>
      <c r="AY82" s="36">
        <v>29.711158422476448</v>
      </c>
      <c r="AZ82" s="36">
        <v>2.2700055947009021</v>
      </c>
      <c r="BA82" s="36">
        <v>0.91146548387096782</v>
      </c>
      <c r="BB82" s="36">
        <v>0</v>
      </c>
      <c r="BC82" s="7"/>
      <c r="BD82" s="32">
        <f t="shared" si="42"/>
        <v>1903.9649242461726</v>
      </c>
      <c r="BE82" s="32">
        <f t="shared" si="43"/>
        <v>945.90532847063844</v>
      </c>
      <c r="BF82" s="7"/>
      <c r="BG82" s="30">
        <v>5.8379625652206473</v>
      </c>
      <c r="BH82" s="36">
        <v>5.3099368783847423</v>
      </c>
      <c r="BI82" s="36">
        <v>12.972398938072487</v>
      </c>
      <c r="BJ82" s="28">
        <v>661.60802050183554</v>
      </c>
      <c r="BK82" s="28">
        <v>692.12645267055996</v>
      </c>
      <c r="BL82" s="28">
        <v>238.5</v>
      </c>
      <c r="BM82" s="30">
        <v>8.9275756971211191</v>
      </c>
      <c r="BN82" s="7"/>
      <c r="BO82" s="29">
        <f t="shared" si="45"/>
        <v>220.50370973849795</v>
      </c>
      <c r="BP82" s="29">
        <f t="shared" si="56"/>
        <v>252.33442946090145</v>
      </c>
      <c r="BQ82" s="30">
        <f t="shared" si="57"/>
        <v>472.83813919939939</v>
      </c>
      <c r="BS82" s="31">
        <v>0</v>
      </c>
      <c r="BT82" s="31">
        <v>0</v>
      </c>
      <c r="BU82" s="31">
        <v>0</v>
      </c>
      <c r="BV82" s="31">
        <v>0</v>
      </c>
      <c r="BW82" s="31">
        <v>2.88</v>
      </c>
      <c r="BX82" s="31">
        <v>1.076E-2</v>
      </c>
      <c r="BY82" s="32">
        <f t="shared" si="46"/>
        <v>2.8907599999999998</v>
      </c>
      <c r="BZ82" s="31">
        <v>55.186999999999998</v>
      </c>
      <c r="CA82" s="31">
        <v>0</v>
      </c>
      <c r="CB82" s="31">
        <v>4.4949960000000004</v>
      </c>
      <c r="CC82" s="31">
        <v>10.800030000000001</v>
      </c>
      <c r="CD82" s="31">
        <v>304.30700000000002</v>
      </c>
      <c r="CE82" s="31">
        <v>63.990875000000003</v>
      </c>
      <c r="CF82" s="32">
        <f t="shared" si="53"/>
        <v>438.77990100000005</v>
      </c>
      <c r="CG82" s="7"/>
      <c r="CH82" s="31">
        <v>0</v>
      </c>
      <c r="CI82" s="31"/>
      <c r="CJ82" s="31"/>
      <c r="CK82" s="31">
        <v>225.46875</v>
      </c>
      <c r="CL82" s="31">
        <v>65.295260223048345</v>
      </c>
      <c r="CM82" s="32">
        <f t="shared" si="54"/>
        <v>224.87255150894578</v>
      </c>
      <c r="CN82" s="31">
        <v>76.161149317878852</v>
      </c>
      <c r="CO82" s="31">
        <v>20.02</v>
      </c>
      <c r="CP82" s="31">
        <v>120</v>
      </c>
      <c r="CQ82" s="31">
        <v>107.5854917961138</v>
      </c>
      <c r="CR82" s="31">
        <v>100.87085791528871</v>
      </c>
      <c r="CS82" s="32">
        <f t="shared" si="47"/>
        <v>102.06240390059658</v>
      </c>
      <c r="CU82" s="61">
        <v>75.797021995723242</v>
      </c>
      <c r="CV82" s="61">
        <v>5.8281870596764644</v>
      </c>
      <c r="CW82" s="61">
        <v>3.3734341195682465</v>
      </c>
      <c r="CX82" s="62">
        <v>1.7081320928778623</v>
      </c>
      <c r="CY82" s="63">
        <v>86.706775267845813</v>
      </c>
      <c r="DA82" s="32">
        <v>114420.11657258087</v>
      </c>
      <c r="DB82" s="30">
        <v>130.28151279637649</v>
      </c>
      <c r="DD82" s="50">
        <v>32118.382461999048</v>
      </c>
      <c r="DE82" s="29">
        <f t="shared" si="55"/>
        <v>35.876439499580059</v>
      </c>
      <c r="DF82" s="51">
        <f t="shared" si="48"/>
        <v>0.41376742923207771</v>
      </c>
      <c r="DH82" s="33"/>
      <c r="DI82" s="32"/>
      <c r="DK82" s="50"/>
      <c r="DL82" s="50"/>
      <c r="DN82" s="31"/>
      <c r="DO82" s="31"/>
      <c r="DQ82" s="29"/>
      <c r="DR82" s="29"/>
      <c r="DT82" s="54"/>
      <c r="DU82" s="54"/>
      <c r="DV82" s="51"/>
      <c r="DX82" s="33"/>
      <c r="DY82" s="33"/>
      <c r="DZ82" s="33"/>
      <c r="EA82" s="33"/>
      <c r="EB82" s="33"/>
      <c r="EC82" s="33"/>
      <c r="ED82" s="33"/>
      <c r="EE82" s="32"/>
      <c r="EF82" s="33"/>
      <c r="EG82" s="33"/>
      <c r="EH82" s="33"/>
      <c r="EI82" s="32"/>
      <c r="EJ82" s="33"/>
      <c r="EK82" s="33"/>
      <c r="EL82" s="33"/>
      <c r="EM82" s="33"/>
      <c r="EN82" s="32"/>
      <c r="EO82" s="32"/>
      <c r="EP82" s="70">
        <f t="shared" si="49"/>
        <v>12699.140746000003</v>
      </c>
    </row>
    <row r="83" spans="1:146" x14ac:dyDescent="0.4">
      <c r="A83" s="22">
        <v>2024</v>
      </c>
      <c r="B83" s="37">
        <v>45444</v>
      </c>
      <c r="C83" s="38">
        <f t="shared" si="35"/>
        <v>30</v>
      </c>
      <c r="D83" s="39">
        <v>895.8446000000074</v>
      </c>
      <c r="E83" s="39">
        <v>911.75</v>
      </c>
      <c r="F83" s="39">
        <v>79.767368421052609</v>
      </c>
      <c r="G83" s="39">
        <v>82.246000000000009</v>
      </c>
      <c r="H83" s="7"/>
      <c r="I83" s="40">
        <v>14.6</v>
      </c>
      <c r="J83" s="39">
        <v>24.1</v>
      </c>
      <c r="K83" s="39">
        <v>6.6000000000000005</v>
      </c>
      <c r="L83" s="40">
        <v>11.700000000000001</v>
      </c>
      <c r="M83" s="22"/>
      <c r="N83" s="41">
        <v>5345.5174190000007</v>
      </c>
      <c r="O83" s="41">
        <v>2973.6172830000014</v>
      </c>
      <c r="P83" s="42">
        <f t="shared" si="50"/>
        <v>8319.134702000003</v>
      </c>
      <c r="Q83" s="41">
        <v>1011.7517910000001</v>
      </c>
      <c r="R83" s="41">
        <v>372.53273499999995</v>
      </c>
      <c r="S83" s="41">
        <v>1521.8212619999993</v>
      </c>
      <c r="T83" s="41">
        <v>0.98333400000000037</v>
      </c>
      <c r="U83" s="42">
        <f t="shared" si="51"/>
        <v>2906.1057879999994</v>
      </c>
      <c r="V83" s="42">
        <f t="shared" si="38"/>
        <v>11225.240490000002</v>
      </c>
      <c r="W83" s="39">
        <v>0.76016499999999998</v>
      </c>
      <c r="X83" s="42">
        <f t="shared" si="39"/>
        <v>11226.000655000002</v>
      </c>
      <c r="Z83" s="42">
        <v>24935</v>
      </c>
      <c r="AB83" s="41">
        <v>6074.043181</v>
      </c>
      <c r="AC83" s="41">
        <v>1129.6180490000002</v>
      </c>
      <c r="AD83" s="41">
        <v>3849.9155070000002</v>
      </c>
      <c r="AE83" s="41">
        <v>625.99871900000005</v>
      </c>
      <c r="AF83" s="42">
        <f t="shared" si="36"/>
        <v>11679.575455999999</v>
      </c>
      <c r="AH83" s="41">
        <v>2243.3110000000001</v>
      </c>
      <c r="AI83" s="41">
        <v>56.960933000000004</v>
      </c>
      <c r="AJ83" s="41">
        <v>1235.606188</v>
      </c>
      <c r="AK83" s="41">
        <v>202.79775900000004</v>
      </c>
      <c r="AL83" s="41">
        <v>68.183876999999995</v>
      </c>
      <c r="AM83" s="41">
        <v>43.05575000000001</v>
      </c>
      <c r="AN83" s="42">
        <f t="shared" si="37"/>
        <v>1606.604507</v>
      </c>
      <c r="AO83" s="43">
        <f t="shared" si="40"/>
        <v>0.14312428392347074</v>
      </c>
      <c r="AQ83" s="40">
        <v>38.041522066666666</v>
      </c>
      <c r="AR83" s="44">
        <v>28.707291501232689</v>
      </c>
      <c r="AS83" s="44">
        <v>9.3263833220797689</v>
      </c>
      <c r="AT83" s="40">
        <v>22.088243000000002</v>
      </c>
      <c r="AU83" s="40">
        <v>110.34456700000001</v>
      </c>
      <c r="AV83" s="40">
        <v>44.362023000000001</v>
      </c>
      <c r="AW83" s="40">
        <f t="shared" si="41"/>
        <v>43.608093854206345</v>
      </c>
      <c r="AX83" s="7"/>
      <c r="AY83" s="44">
        <v>27.774381501232689</v>
      </c>
      <c r="AZ83" s="44">
        <v>9.3263833220797689</v>
      </c>
      <c r="BA83" s="44">
        <v>0.93291000000000013</v>
      </c>
      <c r="BB83" s="44">
        <v>0</v>
      </c>
      <c r="BC83" s="7"/>
      <c r="BD83" s="38">
        <f t="shared" si="42"/>
        <v>1809.2132906850336</v>
      </c>
      <c r="BE83" s="38">
        <f t="shared" si="43"/>
        <v>940.893758738006</v>
      </c>
      <c r="BF83" s="7"/>
      <c r="BG83" s="40">
        <v>7.3300590311339739</v>
      </c>
      <c r="BH83" s="44">
        <v>5.1464070532796677</v>
      </c>
      <c r="BI83" s="44">
        <v>14.057667414330151</v>
      </c>
      <c r="BJ83" s="38">
        <v>656.29990424181972</v>
      </c>
      <c r="BK83" s="38">
        <v>676.99535663584584</v>
      </c>
      <c r="BL83" s="38">
        <v>238.5</v>
      </c>
      <c r="BM83" s="40">
        <v>8.4536658717893047</v>
      </c>
      <c r="BN83" s="7"/>
      <c r="BO83" s="39">
        <f t="shared" si="45"/>
        <v>309.82955820316926</v>
      </c>
      <c r="BP83" s="39">
        <f t="shared" si="56"/>
        <v>99.779613740263045</v>
      </c>
      <c r="BQ83" s="40">
        <f t="shared" si="57"/>
        <v>409.60917194343233</v>
      </c>
      <c r="BS83" s="41">
        <v>0</v>
      </c>
      <c r="BT83" s="41">
        <v>0</v>
      </c>
      <c r="BU83" s="41">
        <v>0</v>
      </c>
      <c r="BV83" s="41">
        <v>0</v>
      </c>
      <c r="BW83" s="41">
        <v>0.72399999999999998</v>
      </c>
      <c r="BX83" s="41">
        <v>3.6164999999999996E-2</v>
      </c>
      <c r="BY83" s="42">
        <f t="shared" si="46"/>
        <v>0.76016499999999998</v>
      </c>
      <c r="BZ83" s="41">
        <v>384.02809999999999</v>
      </c>
      <c r="CA83" s="41">
        <v>0</v>
      </c>
      <c r="CB83" s="41">
        <v>1.7995409999999998</v>
      </c>
      <c r="CC83" s="41">
        <v>6.973122</v>
      </c>
      <c r="CD83" s="41">
        <v>202.447</v>
      </c>
      <c r="CE83" s="41">
        <v>30.750965000000001</v>
      </c>
      <c r="CF83" s="42">
        <f t="shared" si="53"/>
        <v>625.99872799999991</v>
      </c>
      <c r="CG83" s="7"/>
      <c r="CH83" s="41">
        <v>0</v>
      </c>
      <c r="CI83" s="41"/>
      <c r="CJ83" s="41"/>
      <c r="CK83" s="41">
        <v>234.69613259668509</v>
      </c>
      <c r="CL83" s="41">
        <v>103.20013825521912</v>
      </c>
      <c r="CM83" s="42">
        <f t="shared" si="54"/>
        <v>228.44018469674347</v>
      </c>
      <c r="CN83" s="41">
        <v>80.594815625920333</v>
      </c>
      <c r="CO83" s="41">
        <v>24.57</v>
      </c>
      <c r="CP83" s="41">
        <v>120</v>
      </c>
      <c r="CQ83" s="41">
        <v>76.773278932263764</v>
      </c>
      <c r="CR83" s="41">
        <v>115.06885003446234</v>
      </c>
      <c r="CS83" s="42">
        <f t="shared" si="47"/>
        <v>81.330295382073857</v>
      </c>
      <c r="CU83" s="64">
        <v>75.574185481651313</v>
      </c>
      <c r="CV83" s="64">
        <v>8.6787588033475647</v>
      </c>
      <c r="CW83" s="64">
        <v>3.7582201304981835</v>
      </c>
      <c r="CX83" s="65">
        <v>4.0004644712780983</v>
      </c>
      <c r="CY83" s="66">
        <v>92.011628886775156</v>
      </c>
      <c r="DA83" s="42">
        <v>94424.662999999709</v>
      </c>
      <c r="DB83" s="40">
        <v>105.4649819208483</v>
      </c>
      <c r="DD83" s="42">
        <v>52231.411232433267</v>
      </c>
      <c r="DE83" s="39">
        <f t="shared" si="55"/>
        <v>57.286987916022227</v>
      </c>
      <c r="DF83" s="55">
        <f t="shared" si="48"/>
        <v>0.62260595328136936</v>
      </c>
      <c r="DH83" s="39"/>
      <c r="DI83" s="42"/>
      <c r="DK83" s="42"/>
      <c r="DL83" s="42"/>
      <c r="DN83" s="41"/>
      <c r="DO83" s="41"/>
      <c r="DQ83" s="39"/>
      <c r="DR83" s="39"/>
      <c r="DT83" s="56"/>
      <c r="DU83" s="56"/>
      <c r="DV83" s="55"/>
      <c r="DX83" s="39"/>
      <c r="DY83" s="39"/>
      <c r="DZ83" s="39"/>
      <c r="EA83" s="39"/>
      <c r="EB83" s="39"/>
      <c r="EC83" s="39"/>
      <c r="ED83" s="39"/>
      <c r="EE83" s="42"/>
      <c r="EF83" s="39"/>
      <c r="EG83" s="39"/>
      <c r="EH83" s="39"/>
      <c r="EI83" s="42"/>
      <c r="EJ83" s="39"/>
      <c r="EK83" s="39"/>
      <c r="EL83" s="39"/>
      <c r="EM83" s="39"/>
      <c r="EN83" s="42"/>
      <c r="EO83" s="39"/>
      <c r="EP83" s="72">
        <f t="shared" si="49"/>
        <v>11679.575455999999</v>
      </c>
    </row>
    <row r="84" spans="1:146" x14ac:dyDescent="0.4">
      <c r="A84" s="26">
        <v>2024</v>
      </c>
      <c r="B84" s="27">
        <v>45474</v>
      </c>
      <c r="C84" s="28">
        <f t="shared" si="35"/>
        <v>31</v>
      </c>
      <c r="D84" s="29">
        <v>915.26609677420049</v>
      </c>
      <c r="E84" s="29">
        <v>932.75</v>
      </c>
      <c r="F84" s="29">
        <v>81.800454545454542</v>
      </c>
      <c r="G84" s="29">
        <v>85.153043478260869</v>
      </c>
      <c r="H84" s="7"/>
      <c r="I84" s="30">
        <v>10.6</v>
      </c>
      <c r="J84" s="29">
        <v>16.5</v>
      </c>
      <c r="K84" s="29">
        <v>4.5</v>
      </c>
      <c r="L84" s="30">
        <v>11.200000000000001</v>
      </c>
      <c r="M84" s="22"/>
      <c r="N84" s="31">
        <v>6891.4025890000012</v>
      </c>
      <c r="O84" s="31">
        <v>3229.8028430000022</v>
      </c>
      <c r="P84" s="32">
        <f t="shared" si="50"/>
        <v>10121.205432000002</v>
      </c>
      <c r="Q84" s="31">
        <v>1091.3581040000001</v>
      </c>
      <c r="R84" s="31">
        <v>386.70700500000004</v>
      </c>
      <c r="S84" s="31">
        <v>1625.5632099999991</v>
      </c>
      <c r="T84" s="31">
        <v>1.4705410000000005</v>
      </c>
      <c r="U84" s="32">
        <f t="shared" si="51"/>
        <v>3103.6283189999995</v>
      </c>
      <c r="V84" s="32">
        <f t="shared" si="38"/>
        <v>13224.833751000002</v>
      </c>
      <c r="W84" s="33">
        <v>2.6004000000000003E-2</v>
      </c>
      <c r="X84" s="32">
        <f t="shared" si="39"/>
        <v>13224.859755000001</v>
      </c>
      <c r="Z84" s="32">
        <v>26675</v>
      </c>
      <c r="AB84" s="34">
        <v>6487.3700280000003</v>
      </c>
      <c r="AC84" s="34">
        <v>1174.1155819999999</v>
      </c>
      <c r="AD84" s="34">
        <v>5087.6124719999998</v>
      </c>
      <c r="AE84" s="34">
        <v>1054.7643700000001</v>
      </c>
      <c r="AF84" s="32">
        <f t="shared" si="36"/>
        <v>13803.862452000001</v>
      </c>
      <c r="AH84" s="31">
        <v>3296.8319919999994</v>
      </c>
      <c r="AI84" s="31">
        <v>63.754076999999995</v>
      </c>
      <c r="AJ84" s="31">
        <v>1359.184722</v>
      </c>
      <c r="AK84" s="31">
        <v>244.11194199999994</v>
      </c>
      <c r="AL84" s="31">
        <v>79.460062999999991</v>
      </c>
      <c r="AM84" s="31">
        <v>44.269676000000018</v>
      </c>
      <c r="AN84" s="32">
        <f t="shared" si="37"/>
        <v>1790.7804800000001</v>
      </c>
      <c r="AO84" s="35">
        <f t="shared" si="40"/>
        <v>0.13541043416629639</v>
      </c>
      <c r="AQ84" s="30">
        <v>32.967012032258062</v>
      </c>
      <c r="AR84" s="36">
        <v>26.969211398477277</v>
      </c>
      <c r="AS84" s="36">
        <v>5.9833286158625789</v>
      </c>
      <c r="AT84" s="30">
        <v>72.546795000000031</v>
      </c>
      <c r="AU84" s="30">
        <v>301.28977299999997</v>
      </c>
      <c r="AV84" s="30">
        <v>60.721922999999997</v>
      </c>
      <c r="AW84" s="30">
        <f t="shared" si="41"/>
        <v>46.883767898387092</v>
      </c>
      <c r="AX84" s="7"/>
      <c r="AY84" s="36">
        <v>25.974970108154697</v>
      </c>
      <c r="AZ84" s="36">
        <v>5.9833286158625789</v>
      </c>
      <c r="BA84" s="36">
        <v>0.99424129032258068</v>
      </c>
      <c r="BB84" s="36">
        <v>0</v>
      </c>
      <c r="BC84" s="7"/>
      <c r="BD84" s="32">
        <f t="shared" si="42"/>
        <v>1881.8925247129434</v>
      </c>
      <c r="BE84" s="32">
        <f t="shared" si="43"/>
        <v>884.42877514844702</v>
      </c>
      <c r="BF84" s="7"/>
      <c r="BG84" s="30">
        <v>6.9373987395275423</v>
      </c>
      <c r="BH84" s="36">
        <v>5.1228754762828697</v>
      </c>
      <c r="BI84" s="36">
        <v>15.132947201091561</v>
      </c>
      <c r="BJ84" s="28">
        <v>620.54109730214225</v>
      </c>
      <c r="BK84" s="28">
        <v>715.44124427518909</v>
      </c>
      <c r="BL84" s="28">
        <v>238.5</v>
      </c>
      <c r="BM84" s="30">
        <v>9.9878884115798989</v>
      </c>
      <c r="BN84" s="7"/>
      <c r="BO84" s="29">
        <f t="shared" si="45"/>
        <v>262.5875755287359</v>
      </c>
      <c r="BP84" s="29">
        <f t="shared" si="56"/>
        <v>275.05557649306286</v>
      </c>
      <c r="BQ84" s="30">
        <f t="shared" si="57"/>
        <v>537.64315202179876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2.6004000000000003E-2</v>
      </c>
      <c r="BY84" s="32">
        <f t="shared" si="46"/>
        <v>2.6004000000000003E-2</v>
      </c>
      <c r="BZ84" s="31">
        <v>890.50040000000001</v>
      </c>
      <c r="CA84" s="31">
        <v>0</v>
      </c>
      <c r="CB84" s="31">
        <v>0.28831499999999999</v>
      </c>
      <c r="CC84" s="31">
        <v>6.2913180000000004</v>
      </c>
      <c r="CD84" s="31">
        <v>118.15600000000001</v>
      </c>
      <c r="CE84" s="31">
        <v>39.528360999999997</v>
      </c>
      <c r="CF84" s="32">
        <f t="shared" si="53"/>
        <v>1054.764394</v>
      </c>
      <c r="CG84" s="7"/>
      <c r="CH84" s="31">
        <v>0</v>
      </c>
      <c r="CI84" s="31"/>
      <c r="CJ84" s="31"/>
      <c r="CK84" s="31">
        <v>0</v>
      </c>
      <c r="CL84" s="31">
        <v>118.64163205660668</v>
      </c>
      <c r="CM84" s="32">
        <f t="shared" si="54"/>
        <v>118.64163205660668</v>
      </c>
      <c r="CN84" s="31">
        <v>79.924302020506474</v>
      </c>
      <c r="CO84" s="31">
        <v>24.009989074449816</v>
      </c>
      <c r="CP84" s="31">
        <v>120</v>
      </c>
      <c r="CQ84" s="31">
        <v>86.995820059920788</v>
      </c>
      <c r="CR84" s="31">
        <v>114.54228572745531</v>
      </c>
      <c r="CS84" s="32">
        <f t="shared" si="47"/>
        <v>82.237560300107944</v>
      </c>
      <c r="CU84" s="61">
        <v>78.667202615677581</v>
      </c>
      <c r="CV84" s="61">
        <v>7.1561831108986667</v>
      </c>
      <c r="CW84" s="61">
        <v>4.3772457337990138</v>
      </c>
      <c r="CX84" s="62">
        <v>3.8089578273928266</v>
      </c>
      <c r="CY84" s="63">
        <v>94.009589287768094</v>
      </c>
      <c r="DA84" s="32">
        <v>113410.32052419335</v>
      </c>
      <c r="DB84" s="30">
        <v>124.01803881174672</v>
      </c>
      <c r="DD84" s="50">
        <v>50769.798362340363</v>
      </c>
      <c r="DE84" s="29">
        <f t="shared" si="55"/>
        <v>54.430231425720038</v>
      </c>
      <c r="DF84" s="51">
        <f t="shared" si="48"/>
        <v>0.57898595066835523</v>
      </c>
      <c r="DH84" s="33"/>
      <c r="DI84" s="32"/>
      <c r="DK84" s="50"/>
      <c r="DL84" s="50"/>
      <c r="DN84" s="31"/>
      <c r="DO84" s="31"/>
      <c r="DQ84" s="29"/>
      <c r="DR84" s="29"/>
      <c r="DT84" s="54"/>
      <c r="DU84" s="54"/>
      <c r="DV84" s="51"/>
      <c r="DX84" s="33"/>
      <c r="DY84" s="33"/>
      <c r="DZ84" s="33"/>
      <c r="EA84" s="33"/>
      <c r="EB84" s="33"/>
      <c r="EC84" s="33"/>
      <c r="ED84" s="33"/>
      <c r="EE84" s="32"/>
      <c r="EF84" s="33"/>
      <c r="EG84" s="33"/>
      <c r="EH84" s="33"/>
      <c r="EI84" s="32"/>
      <c r="EJ84" s="33"/>
      <c r="EK84" s="33"/>
      <c r="EL84" s="33"/>
      <c r="EM84" s="33"/>
      <c r="EN84" s="32"/>
      <c r="EO84" s="32"/>
      <c r="EP84" s="70">
        <f t="shared" si="49"/>
        <v>13803.862452000001</v>
      </c>
    </row>
    <row r="85" spans="1:146" x14ac:dyDescent="0.4">
      <c r="A85" s="22">
        <v>2024</v>
      </c>
      <c r="B85" s="37">
        <v>45505</v>
      </c>
      <c r="C85" s="38">
        <f t="shared" si="35"/>
        <v>31</v>
      </c>
      <c r="D85" s="39">
        <v>932.67461290322774</v>
      </c>
      <c r="E85" s="39">
        <v>952.83330000000001</v>
      </c>
      <c r="F85" s="39">
        <v>76.683181818181822</v>
      </c>
      <c r="G85" s="39">
        <v>80.355238095238079</v>
      </c>
      <c r="H85" s="7"/>
      <c r="I85" s="40">
        <v>12.672580645161288</v>
      </c>
      <c r="J85" s="39">
        <v>25.45</v>
      </c>
      <c r="K85" s="39">
        <v>7.95</v>
      </c>
      <c r="L85" s="40">
        <v>12.6</v>
      </c>
      <c r="M85" s="22"/>
      <c r="N85" s="41">
        <v>5900.9830500000016</v>
      </c>
      <c r="O85" s="41">
        <v>3180.046652999999</v>
      </c>
      <c r="P85" s="42">
        <f t="shared" si="50"/>
        <v>9081.0297030000002</v>
      </c>
      <c r="Q85" s="41">
        <v>1059.7295550000003</v>
      </c>
      <c r="R85" s="41">
        <v>418.91489200000007</v>
      </c>
      <c r="S85" s="41">
        <v>1610.1953270000006</v>
      </c>
      <c r="T85" s="41">
        <v>1.7371680000000007</v>
      </c>
      <c r="U85" s="42">
        <f t="shared" si="51"/>
        <v>3088.8397740000009</v>
      </c>
      <c r="V85" s="42">
        <f t="shared" si="38"/>
        <v>12169.869477</v>
      </c>
      <c r="W85" s="39">
        <v>6.6200000000000005E-4</v>
      </c>
      <c r="X85" s="42">
        <f t="shared" si="39"/>
        <v>12169.870139000001</v>
      </c>
      <c r="Z85" s="42">
        <v>23806</v>
      </c>
      <c r="AB85" s="41">
        <v>6313.029595</v>
      </c>
      <c r="AC85" s="41">
        <v>724.10547499999996</v>
      </c>
      <c r="AD85" s="41">
        <v>4556.054905</v>
      </c>
      <c r="AE85" s="41">
        <v>1061.973078</v>
      </c>
      <c r="AF85" s="42">
        <f t="shared" si="36"/>
        <v>12655.163053</v>
      </c>
      <c r="AH85" s="41">
        <v>2792.0337399999999</v>
      </c>
      <c r="AI85" s="41">
        <v>90.167946000000001</v>
      </c>
      <c r="AJ85" s="41">
        <v>1276.6151169999998</v>
      </c>
      <c r="AK85" s="41">
        <v>266.51687900000007</v>
      </c>
      <c r="AL85" s="41">
        <v>86.060442999999978</v>
      </c>
      <c r="AM85" s="41">
        <v>44.660779999999988</v>
      </c>
      <c r="AN85" s="42">
        <f t="shared" si="37"/>
        <v>1764.0211649999999</v>
      </c>
      <c r="AO85" s="43">
        <f t="shared" si="40"/>
        <v>0.14494988367244588</v>
      </c>
      <c r="AQ85" s="40">
        <v>37.608676322580642</v>
      </c>
      <c r="AR85" s="44">
        <v>30.750758190197924</v>
      </c>
      <c r="AS85" s="44">
        <v>6.8579181323826566</v>
      </c>
      <c r="AT85" s="40">
        <v>29.198697999999997</v>
      </c>
      <c r="AU85" s="40">
        <v>147.70367200000001</v>
      </c>
      <c r="AV85" s="40">
        <v>30.034230000000004</v>
      </c>
      <c r="AW85" s="40">
        <f t="shared" si="41"/>
        <v>44.197115601228873</v>
      </c>
      <c r="AX85" s="7"/>
      <c r="AY85" s="44">
        <v>29.783944319230184</v>
      </c>
      <c r="AZ85" s="44">
        <v>6.8579181323826566</v>
      </c>
      <c r="BA85" s="44">
        <v>0.96681387096774185</v>
      </c>
      <c r="BB85" s="44">
        <v>0</v>
      </c>
      <c r="BC85" s="7"/>
      <c r="BD85" s="38">
        <f t="shared" si="42"/>
        <v>1823.0437113228832</v>
      </c>
      <c r="BE85" s="38">
        <f t="shared" si="43"/>
        <v>909.4255723423272</v>
      </c>
      <c r="BF85" s="7"/>
      <c r="BG85" s="40">
        <v>7.0357112425864416</v>
      </c>
      <c r="BH85" s="44">
        <v>5.0863477238260728</v>
      </c>
      <c r="BI85" s="44">
        <v>15.77661555684767</v>
      </c>
      <c r="BJ85" s="38">
        <v>627.42219542417456</v>
      </c>
      <c r="BK85" s="38">
        <v>709.17471864884862</v>
      </c>
      <c r="BL85" s="38">
        <v>229.28850364158012</v>
      </c>
      <c r="BM85" s="40">
        <v>8.5478346809344643</v>
      </c>
      <c r="BN85" s="7"/>
      <c r="BO85" s="39">
        <f t="shared" si="45"/>
        <v>303.80434783217879</v>
      </c>
      <c r="BP85" s="39">
        <f t="shared" si="56"/>
        <v>129.95412489141634</v>
      </c>
      <c r="BQ85" s="40">
        <f t="shared" si="57"/>
        <v>433.7584727235951</v>
      </c>
      <c r="BS85" s="41">
        <v>0</v>
      </c>
      <c r="BT85" s="41">
        <v>0</v>
      </c>
      <c r="BU85" s="41">
        <v>0</v>
      </c>
      <c r="BV85" s="41">
        <v>0</v>
      </c>
      <c r="BW85" s="41">
        <v>0</v>
      </c>
      <c r="BX85" s="41">
        <v>6.6200000000000005E-4</v>
      </c>
      <c r="BY85" s="42">
        <f t="shared" si="46"/>
        <v>6.6200000000000005E-4</v>
      </c>
      <c r="BZ85" s="41">
        <v>701.74930000000006</v>
      </c>
      <c r="CA85" s="41">
        <v>0</v>
      </c>
      <c r="CB85" s="41">
        <v>0</v>
      </c>
      <c r="CC85" s="41">
        <v>7.7495940000000001</v>
      </c>
      <c r="CD85" s="41">
        <v>352.45400000000001</v>
      </c>
      <c r="CE85" s="41">
        <v>2.2653E-2</v>
      </c>
      <c r="CF85" s="42">
        <f t="shared" si="53"/>
        <v>1061.975547</v>
      </c>
      <c r="CG85" s="7"/>
      <c r="CH85" s="41">
        <v>0</v>
      </c>
      <c r="CI85" s="41"/>
      <c r="CJ85" s="41"/>
      <c r="CK85" s="41">
        <v>0</v>
      </c>
      <c r="CL85" s="41">
        <v>0</v>
      </c>
      <c r="CM85" s="42">
        <f t="shared" si="54"/>
        <v>0</v>
      </c>
      <c r="CN85" s="41">
        <v>84.321362316427908</v>
      </c>
      <c r="CO85" s="41"/>
      <c r="CP85" s="41">
        <v>120</v>
      </c>
      <c r="CQ85" s="41">
        <v>63.257114261719245</v>
      </c>
      <c r="CR85" s="41"/>
      <c r="CS85" s="42">
        <f t="shared" si="47"/>
        <v>77.589009881975812</v>
      </c>
      <c r="CU85" s="64">
        <v>74.372369775598074</v>
      </c>
      <c r="CV85" s="64">
        <v>7.871320455179684</v>
      </c>
      <c r="CW85" s="64">
        <v>3.7623162763415849</v>
      </c>
      <c r="CX85" s="65">
        <v>3.9939934928806538</v>
      </c>
      <c r="CY85" s="66">
        <v>89.999999999999986</v>
      </c>
      <c r="DA85" s="42">
        <v>101988.10581989244</v>
      </c>
      <c r="DB85" s="40">
        <v>109.28301343824344</v>
      </c>
      <c r="DD85" s="42">
        <v>53980.065093906007</v>
      </c>
      <c r="DE85" s="39">
        <f t="shared" si="55"/>
        <v>56.652160555163221</v>
      </c>
      <c r="DF85" s="55">
        <f t="shared" si="48"/>
        <v>0.62946845061292478</v>
      </c>
      <c r="DH85" s="39"/>
      <c r="DI85" s="42"/>
      <c r="DK85" s="42"/>
      <c r="DL85" s="42"/>
      <c r="DN85" s="41"/>
      <c r="DO85" s="41"/>
      <c r="DQ85" s="39"/>
      <c r="DR85" s="39"/>
      <c r="DT85" s="56"/>
      <c r="DU85" s="56"/>
      <c r="DV85" s="55"/>
      <c r="DX85" s="39"/>
      <c r="DY85" s="39"/>
      <c r="DZ85" s="39"/>
      <c r="EA85" s="39"/>
      <c r="EB85" s="39"/>
      <c r="EC85" s="39"/>
      <c r="ED85" s="39"/>
      <c r="EE85" s="42"/>
      <c r="EF85" s="39"/>
      <c r="EG85" s="39"/>
      <c r="EH85" s="39"/>
      <c r="EI85" s="42"/>
      <c r="EJ85" s="39"/>
      <c r="EK85" s="39"/>
      <c r="EL85" s="39"/>
      <c r="EM85" s="39"/>
      <c r="EN85" s="42"/>
      <c r="EO85" s="39"/>
      <c r="EP85" s="72">
        <f t="shared" si="49"/>
        <v>12655.163053</v>
      </c>
    </row>
    <row r="86" spans="1:146" x14ac:dyDescent="0.4">
      <c r="A86" s="26">
        <v>2024</v>
      </c>
      <c r="B86" s="27">
        <v>45536</v>
      </c>
      <c r="C86" s="28">
        <f t="shared" si="35"/>
        <v>30</v>
      </c>
      <c r="D86" s="29">
        <v>953.25816666666663</v>
      </c>
      <c r="E86" s="29">
        <v>970.91669999999999</v>
      </c>
      <c r="F86" s="29">
        <v>70.236000000000004</v>
      </c>
      <c r="G86" s="29">
        <v>74.016666666666666</v>
      </c>
      <c r="H86" s="7"/>
      <c r="I86" s="30">
        <v>17.100000000000001</v>
      </c>
      <c r="J86" s="29">
        <v>25.3</v>
      </c>
      <c r="K86" s="29">
        <v>11.3</v>
      </c>
      <c r="L86" s="30">
        <v>14.5</v>
      </c>
      <c r="M86" s="22"/>
      <c r="N86" s="31">
        <v>4320.5865519999988</v>
      </c>
      <c r="O86" s="31">
        <v>2938.1744280000012</v>
      </c>
      <c r="P86" s="32">
        <f t="shared" si="50"/>
        <v>7258.76098</v>
      </c>
      <c r="Q86" s="31">
        <v>1002.5415790000001</v>
      </c>
      <c r="R86" s="31">
        <v>411.17926799999998</v>
      </c>
      <c r="S86" s="31">
        <v>1561.6589229999997</v>
      </c>
      <c r="T86" s="31">
        <v>3.0520430000000007</v>
      </c>
      <c r="U86" s="32">
        <f t="shared" si="51"/>
        <v>2975.3797699999996</v>
      </c>
      <c r="V86" s="32">
        <f t="shared" si="38"/>
        <v>10234.140749999999</v>
      </c>
      <c r="W86" s="33">
        <v>94.136488999999997</v>
      </c>
      <c r="X86" s="32">
        <f t="shared" si="39"/>
        <v>10328.277238999999</v>
      </c>
      <c r="Z86" s="32">
        <v>19829</v>
      </c>
      <c r="AB86" s="34">
        <v>5981.5850980000005</v>
      </c>
      <c r="AC86" s="34">
        <v>480.219111</v>
      </c>
      <c r="AD86" s="34">
        <v>4086.3724740000002</v>
      </c>
      <c r="AE86" s="34">
        <v>181.200413</v>
      </c>
      <c r="AF86" s="32">
        <f t="shared" si="36"/>
        <v>10729.377096000002</v>
      </c>
      <c r="AH86" s="31">
        <v>1928.3052199999997</v>
      </c>
      <c r="AI86" s="31">
        <v>138.30727300000001</v>
      </c>
      <c r="AJ86" s="31">
        <v>1527.7275489999997</v>
      </c>
      <c r="AK86" s="31">
        <v>368.02544499999999</v>
      </c>
      <c r="AL86" s="31">
        <v>80.823060000000012</v>
      </c>
      <c r="AM86" s="31">
        <v>43.183926999999997</v>
      </c>
      <c r="AN86" s="32">
        <f t="shared" si="37"/>
        <v>2158.0672539999996</v>
      </c>
      <c r="AO86" s="35">
        <f t="shared" si="40"/>
        <v>0.21086941314540744</v>
      </c>
      <c r="AQ86" s="30">
        <v>43.379613333333317</v>
      </c>
      <c r="AR86" s="36">
        <v>40.98743358994264</v>
      </c>
      <c r="AS86" s="36">
        <v>2.3921797433905945</v>
      </c>
      <c r="AT86" s="30">
        <v>2.3625719999999997</v>
      </c>
      <c r="AU86" s="30">
        <v>2.4748060000000014</v>
      </c>
      <c r="AV86" s="30">
        <v>9.2686790000000006</v>
      </c>
      <c r="AW86" s="30">
        <f t="shared" si="41"/>
        <v>43.754366935238082</v>
      </c>
      <c r="AX86" s="7"/>
      <c r="AY86" s="36">
        <v>39.963723923275971</v>
      </c>
      <c r="AZ86" s="36">
        <v>2.3921797433905945</v>
      </c>
      <c r="BA86" s="36">
        <v>1.0237096666666667</v>
      </c>
      <c r="BB86" s="36">
        <v>0</v>
      </c>
      <c r="BC86" s="7"/>
      <c r="BD86" s="32">
        <f t="shared" si="42"/>
        <v>1843.3409016226612</v>
      </c>
      <c r="BE86" s="32">
        <f t="shared" si="43"/>
        <v>1027.6552281670308</v>
      </c>
      <c r="BF86" s="7"/>
      <c r="BG86" s="30">
        <v>5.622462426555475</v>
      </c>
      <c r="BH86" s="36">
        <v>5.001682313250658</v>
      </c>
      <c r="BI86" s="36">
        <v>16.258863699636695</v>
      </c>
      <c r="BJ86" s="28">
        <v>654.73308694149671</v>
      </c>
      <c r="BK86" s="28">
        <v>696.13344285332346</v>
      </c>
      <c r="BL86" s="28">
        <v>220.04999856753295</v>
      </c>
      <c r="BM86" s="30">
        <v>5.6835137458558682</v>
      </c>
      <c r="BN86" s="7"/>
      <c r="BO86" s="29">
        <f t="shared" si="45"/>
        <v>271.00027338352385</v>
      </c>
      <c r="BP86" s="29">
        <f t="shared" si="56"/>
        <v>5.3092220805285315</v>
      </c>
      <c r="BQ86" s="30">
        <f t="shared" si="57"/>
        <v>276.30949546405236</v>
      </c>
      <c r="BS86" s="31">
        <v>92.036091999999996</v>
      </c>
      <c r="BT86" s="31">
        <v>2.0998000000000001</v>
      </c>
      <c r="BU86" s="31">
        <v>0</v>
      </c>
      <c r="BV86" s="31">
        <v>0</v>
      </c>
      <c r="BW86" s="31">
        <v>0</v>
      </c>
      <c r="BX86" s="31">
        <v>5.9699999999999998E-4</v>
      </c>
      <c r="BY86" s="32">
        <f t="shared" si="46"/>
        <v>94.136488999999997</v>
      </c>
      <c r="BZ86" s="31">
        <v>19.5884</v>
      </c>
      <c r="CA86" s="31">
        <v>0</v>
      </c>
      <c r="CB86" s="31">
        <v>0</v>
      </c>
      <c r="CC86" s="31">
        <v>6.412452</v>
      </c>
      <c r="CD86" s="31">
        <v>155.178</v>
      </c>
      <c r="CE86" s="31">
        <v>2.1579999999999998E-2</v>
      </c>
      <c r="CF86" s="32">
        <f t="shared" si="53"/>
        <v>181.20043200000001</v>
      </c>
      <c r="CG86" s="7"/>
      <c r="CH86" s="31">
        <v>153.01</v>
      </c>
      <c r="CI86" s="31"/>
      <c r="CJ86" s="31"/>
      <c r="CK86" s="31">
        <v>0</v>
      </c>
      <c r="CL86" s="31">
        <v>0</v>
      </c>
      <c r="CM86" s="32">
        <f t="shared" si="54"/>
        <v>149.5960024270716</v>
      </c>
      <c r="CN86" s="31">
        <v>78.14</v>
      </c>
      <c r="CO86" s="31"/>
      <c r="CP86" s="31">
        <v>120</v>
      </c>
      <c r="CQ86" s="31">
        <v>56.37308848548119</v>
      </c>
      <c r="CR86" s="31"/>
      <c r="CS86" s="32">
        <f t="shared" si="47"/>
        <v>60.971129147197622</v>
      </c>
      <c r="CU86" s="61">
        <v>67.711270301737883</v>
      </c>
      <c r="CV86" s="61">
        <v>8.1766521714080671</v>
      </c>
      <c r="CW86" s="61">
        <v>3.2412940518144411</v>
      </c>
      <c r="CX86" s="62">
        <v>4.3307834750396195</v>
      </c>
      <c r="CY86" s="63">
        <v>83.460000000000008</v>
      </c>
      <c r="DA86" s="32">
        <v>76456.02131944448</v>
      </c>
      <c r="DB86" s="30">
        <v>80.295878337195717</v>
      </c>
      <c r="DD86" s="50">
        <v>58510.875812962709</v>
      </c>
      <c r="DE86" s="29">
        <f t="shared" si="55"/>
        <v>60.263538378691713</v>
      </c>
      <c r="DF86" s="51">
        <f>+DE86/CY86</f>
        <v>0.72206492186306859</v>
      </c>
      <c r="DH86" s="33"/>
      <c r="DI86" s="32"/>
      <c r="DK86" s="50"/>
      <c r="DL86" s="50"/>
      <c r="DN86" s="31"/>
      <c r="DO86" s="31"/>
      <c r="DQ86" s="29"/>
      <c r="DR86" s="29"/>
      <c r="DT86" s="54"/>
      <c r="DU86" s="54"/>
      <c r="DV86" s="51"/>
      <c r="DX86" s="33"/>
      <c r="DY86" s="33"/>
      <c r="DZ86" s="33"/>
      <c r="EA86" s="33"/>
      <c r="EB86" s="33"/>
      <c r="EC86" s="33"/>
      <c r="ED86" s="33"/>
      <c r="EE86" s="32"/>
      <c r="EF86" s="33"/>
      <c r="EG86" s="33"/>
      <c r="EH86" s="33"/>
      <c r="EI86" s="32"/>
      <c r="EJ86" s="33"/>
      <c r="EK86" s="33"/>
      <c r="EL86" s="33"/>
      <c r="EM86" s="33"/>
      <c r="EN86" s="32"/>
      <c r="EO86" s="32"/>
      <c r="EP86" s="70">
        <f t="shared" si="49"/>
        <v>10729.377096000002</v>
      </c>
    </row>
    <row r="87" spans="1:146" x14ac:dyDescent="0.4">
      <c r="A87" s="22">
        <v>2024</v>
      </c>
      <c r="B87" s="37">
        <v>45566</v>
      </c>
      <c r="C87" s="38">
        <f t="shared" si="35"/>
        <v>31</v>
      </c>
      <c r="D87" s="39">
        <v>971.65577419354975</v>
      </c>
      <c r="E87" s="39">
        <v>990.75</v>
      </c>
      <c r="F87" s="39">
        <v>71.984999999999999</v>
      </c>
      <c r="G87" s="39">
        <v>75.632608695652166</v>
      </c>
      <c r="H87" s="7"/>
      <c r="I87" s="40">
        <v>20.490322580645167</v>
      </c>
      <c r="J87" s="39">
        <v>27.95</v>
      </c>
      <c r="K87" s="39">
        <v>13.95</v>
      </c>
      <c r="L87" s="40">
        <v>17.399999999999999</v>
      </c>
      <c r="M87" s="22"/>
      <c r="N87" s="41">
        <v>4548.7183899999955</v>
      </c>
      <c r="O87" s="41">
        <v>3083.3746720000008</v>
      </c>
      <c r="P87" s="42">
        <f t="shared" si="50"/>
        <v>7632.0930619999963</v>
      </c>
      <c r="Q87" s="41">
        <v>1064.6300230000002</v>
      </c>
      <c r="R87" s="41">
        <v>415.3924760000001</v>
      </c>
      <c r="S87" s="41">
        <v>1563.5468899999996</v>
      </c>
      <c r="T87" s="41">
        <v>3.2586830000000013</v>
      </c>
      <c r="U87" s="42">
        <f t="shared" si="51"/>
        <v>3043.5693889999998</v>
      </c>
      <c r="V87" s="42">
        <f t="shared" si="38"/>
        <v>10675.662450999997</v>
      </c>
      <c r="W87" s="39">
        <v>126.81878399999999</v>
      </c>
      <c r="X87" s="42">
        <f t="shared" si="39"/>
        <v>10802.481234999996</v>
      </c>
      <c r="Z87" s="42">
        <v>22158</v>
      </c>
      <c r="AB87" s="41">
        <v>5824.760499</v>
      </c>
      <c r="AC87" s="41">
        <v>393.91601500000002</v>
      </c>
      <c r="AD87" s="41">
        <v>4711.8623470000002</v>
      </c>
      <c r="AE87" s="41">
        <v>302.203712</v>
      </c>
      <c r="AF87" s="42">
        <f t="shared" si="36"/>
        <v>11232.742573000001</v>
      </c>
      <c r="AH87" s="41">
        <v>2624.5488</v>
      </c>
      <c r="AI87" s="41">
        <v>134.32061300000001</v>
      </c>
      <c r="AJ87" s="41">
        <v>1429.7552850000002</v>
      </c>
      <c r="AK87" s="41">
        <v>402.6911980000001</v>
      </c>
      <c r="AL87" s="41">
        <v>77.022288000000003</v>
      </c>
      <c r="AM87" s="41">
        <v>43.524163000000001</v>
      </c>
      <c r="AN87" s="42">
        <f t="shared" si="37"/>
        <v>2087.3135470000007</v>
      </c>
      <c r="AO87" s="43">
        <f t="shared" si="40"/>
        <v>0.19552075167049521</v>
      </c>
      <c r="AQ87" s="40">
        <v>44.158931548387102</v>
      </c>
      <c r="AR87" s="44">
        <v>41.52628169233202</v>
      </c>
      <c r="AS87" s="44">
        <v>2.6326498560552216</v>
      </c>
      <c r="AT87" s="40">
        <v>0.16988999999999999</v>
      </c>
      <c r="AU87" s="40">
        <v>4.1313639999999996</v>
      </c>
      <c r="AV87" s="40">
        <v>6.3934710000000008</v>
      </c>
      <c r="AW87" s="40">
        <f t="shared" si="41"/>
        <v>44.434034346082953</v>
      </c>
      <c r="AX87" s="7"/>
      <c r="AY87" s="44">
        <v>40.681024918138469</v>
      </c>
      <c r="AZ87" s="44">
        <v>2.6326498560552216</v>
      </c>
      <c r="BA87" s="44">
        <v>0.84525677419354839</v>
      </c>
      <c r="BB87" s="44">
        <v>0</v>
      </c>
      <c r="BC87" s="7"/>
      <c r="BD87" s="38">
        <f t="shared" si="42"/>
        <v>1986.4546440504216</v>
      </c>
      <c r="BE87" s="38">
        <f t="shared" si="43"/>
        <v>1030.0799175734835</v>
      </c>
      <c r="BF87" s="7"/>
      <c r="BG87" s="40">
        <v>3.8354023566599924</v>
      </c>
      <c r="BH87" s="44">
        <v>3.1639261819326223</v>
      </c>
      <c r="BI87" s="44">
        <v>14.426977501863378</v>
      </c>
      <c r="BJ87" s="38">
        <v>664.47887726740919</v>
      </c>
      <c r="BK87" s="38">
        <v>704.98819576511767</v>
      </c>
      <c r="BL87" s="38">
        <v>220.04999856753295</v>
      </c>
      <c r="BM87" s="40">
        <v>3.8985361785813208</v>
      </c>
      <c r="BN87" s="7"/>
      <c r="BO87" s="39">
        <f t="shared" si="45"/>
        <v>194.45871755468173</v>
      </c>
      <c r="BP87" s="39">
        <f t="shared" si="56"/>
        <v>4.4323344532594833</v>
      </c>
      <c r="BQ87" s="40">
        <f t="shared" si="57"/>
        <v>198.8910520079412</v>
      </c>
      <c r="BS87" s="41">
        <v>119.92933600000001</v>
      </c>
      <c r="BT87" s="41">
        <v>6.8861000000000008</v>
      </c>
      <c r="BU87" s="41">
        <v>0</v>
      </c>
      <c r="BV87" s="41">
        <v>0</v>
      </c>
      <c r="BW87" s="41">
        <v>0</v>
      </c>
      <c r="BX87" s="41">
        <v>3.3480000000000003E-3</v>
      </c>
      <c r="BY87" s="42">
        <f t="shared" si="46"/>
        <v>126.81878400000001</v>
      </c>
      <c r="BZ87" s="41">
        <v>2.5698000000000003</v>
      </c>
      <c r="CA87" s="41">
        <v>0</v>
      </c>
      <c r="CB87" s="41">
        <v>0.76883399999999991</v>
      </c>
      <c r="CC87" s="41">
        <v>8.1274080000000009</v>
      </c>
      <c r="CD87" s="41">
        <v>290.72000000000003</v>
      </c>
      <c r="CE87" s="41">
        <v>1.7687999999999999E-2</v>
      </c>
      <c r="CF87" s="42">
        <f t="shared" si="53"/>
        <v>302.20373000000006</v>
      </c>
      <c r="CG87" s="7"/>
      <c r="CH87" s="41">
        <v>123.03950788570819</v>
      </c>
      <c r="CI87" s="41"/>
      <c r="CJ87" s="41"/>
      <c r="CK87" s="41">
        <v>0</v>
      </c>
      <c r="CL87" s="41">
        <v>0</v>
      </c>
      <c r="CM87" s="42">
        <f t="shared" si="54"/>
        <v>116.35536958389181</v>
      </c>
      <c r="CN87" s="41">
        <v>91.457703005254729</v>
      </c>
      <c r="CO87" s="41">
        <v>25.11</v>
      </c>
      <c r="CP87" s="41">
        <v>120</v>
      </c>
      <c r="CQ87" s="41">
        <v>40.304449205421029</v>
      </c>
      <c r="CR87" s="41">
        <v>0</v>
      </c>
      <c r="CS87" s="42">
        <f t="shared" si="47"/>
        <v>42.841734150412051</v>
      </c>
      <c r="CU87" s="64">
        <v>57.679070562947139</v>
      </c>
      <c r="CV87" s="64">
        <v>6.815875653463368</v>
      </c>
      <c r="CW87" s="64">
        <v>2.5691819693073965</v>
      </c>
      <c r="CX87" s="65">
        <v>4.4358718142821099</v>
      </c>
      <c r="CY87" s="66">
        <v>71.500000000000014</v>
      </c>
      <c r="DA87" s="42">
        <v>45830.587271505399</v>
      </c>
      <c r="DB87" s="40">
        <v>47.148331857159185</v>
      </c>
      <c r="DD87" s="42">
        <v>59151.730715837213</v>
      </c>
      <c r="DE87" s="39">
        <f t="shared" si="55"/>
        <v>59.703992647829637</v>
      </c>
      <c r="DF87" s="55">
        <f t="shared" si="48"/>
        <v>0.83502087619342136</v>
      </c>
      <c r="DH87" s="39"/>
      <c r="DI87" s="42"/>
      <c r="DK87" s="42"/>
      <c r="DL87" s="42"/>
      <c r="DN87" s="41"/>
      <c r="DO87" s="41"/>
      <c r="DQ87" s="39"/>
      <c r="DR87" s="39"/>
      <c r="DT87" s="56"/>
      <c r="DU87" s="56"/>
      <c r="DV87" s="55"/>
      <c r="DX87" s="39"/>
      <c r="DY87" s="39"/>
      <c r="DZ87" s="39"/>
      <c r="EA87" s="39"/>
      <c r="EB87" s="39"/>
      <c r="EC87" s="39"/>
      <c r="ED87" s="39"/>
      <c r="EE87" s="42"/>
      <c r="EF87" s="39"/>
      <c r="EG87" s="39"/>
      <c r="EH87" s="39"/>
      <c r="EI87" s="42"/>
      <c r="EJ87" s="39"/>
      <c r="EK87" s="39"/>
      <c r="EL87" s="39"/>
      <c r="EM87" s="39"/>
      <c r="EN87" s="42"/>
      <c r="EO87" s="39"/>
      <c r="EP87" s="72">
        <f t="shared" si="49"/>
        <v>11232.742573000001</v>
      </c>
    </row>
    <row r="88" spans="1:146" x14ac:dyDescent="0.4">
      <c r="A88" s="26">
        <v>2024</v>
      </c>
      <c r="B88" s="27">
        <v>45597</v>
      </c>
      <c r="C88" s="28">
        <f t="shared" si="35"/>
        <v>30</v>
      </c>
      <c r="D88" s="29">
        <v>991.36373333333256</v>
      </c>
      <c r="E88" s="29">
        <v>1011.75</v>
      </c>
      <c r="F88" s="29">
        <v>69.95</v>
      </c>
      <c r="G88" s="29">
        <v>74.345238095238102</v>
      </c>
      <c r="H88" s="7"/>
      <c r="I88" s="30">
        <v>22.401666666666664</v>
      </c>
      <c r="J88" s="29">
        <v>28.549999999999997</v>
      </c>
      <c r="K88" s="29">
        <v>18.100000000000001</v>
      </c>
      <c r="L88" s="30">
        <v>20.399999999999999</v>
      </c>
      <c r="M88" s="22"/>
      <c r="N88" s="31">
        <v>4796.444766999999</v>
      </c>
      <c r="O88" s="31">
        <v>3187.5321639999984</v>
      </c>
      <c r="P88" s="32">
        <f t="shared" si="50"/>
        <v>7983.9769309999974</v>
      </c>
      <c r="Q88" s="31">
        <v>1063.2368489999997</v>
      </c>
      <c r="R88" s="31">
        <v>460.5837370000001</v>
      </c>
      <c r="S88" s="31">
        <v>1552.9332949999989</v>
      </c>
      <c r="T88" s="31">
        <v>3.2751520000000012</v>
      </c>
      <c r="U88" s="32">
        <f t="shared" si="51"/>
        <v>3076.7538809999987</v>
      </c>
      <c r="V88" s="32">
        <f t="shared" si="38"/>
        <v>11060.730811999996</v>
      </c>
      <c r="W88" s="33">
        <v>65.014622000000003</v>
      </c>
      <c r="X88" s="32">
        <f t="shared" si="39"/>
        <v>11125.745433999997</v>
      </c>
      <c r="Z88" s="32">
        <v>22856</v>
      </c>
      <c r="AB88" s="34">
        <v>5977.2461830000002</v>
      </c>
      <c r="AC88" s="34">
        <v>401.984015</v>
      </c>
      <c r="AD88" s="34">
        <v>4898.9516009999998</v>
      </c>
      <c r="AE88" s="34">
        <v>363.27434499999998</v>
      </c>
      <c r="AF88" s="32">
        <f t="shared" si="36"/>
        <v>11641.456144</v>
      </c>
      <c r="AH88" s="31">
        <v>2648.4096650000001</v>
      </c>
      <c r="AI88" s="31">
        <v>173.08137999999997</v>
      </c>
      <c r="AJ88" s="31">
        <v>1539.4376269999993</v>
      </c>
      <c r="AK88" s="31">
        <v>445.95993899999979</v>
      </c>
      <c r="AL88" s="31">
        <v>50.132541999999994</v>
      </c>
      <c r="AM88" s="31">
        <v>41.930447999999998</v>
      </c>
      <c r="AN88" s="32">
        <f t="shared" si="37"/>
        <v>2250.5419359999992</v>
      </c>
      <c r="AO88" s="35">
        <f t="shared" si="40"/>
        <v>0.20347135955594758</v>
      </c>
      <c r="AQ88" s="30">
        <v>44.697902766666658</v>
      </c>
      <c r="AR88" s="36">
        <v>42.874446293405626</v>
      </c>
      <c r="AS88" s="36">
        <v>1.8234564732611556</v>
      </c>
      <c r="AT88" s="30">
        <v>0.10719300000000004</v>
      </c>
      <c r="AU88" s="30">
        <v>4.5740179999999997</v>
      </c>
      <c r="AV88" s="30">
        <v>11.938416999999999</v>
      </c>
      <c r="AW88" s="30">
        <f t="shared" si="41"/>
        <v>45.113629027142849</v>
      </c>
      <c r="AX88" s="7"/>
      <c r="AY88" s="36">
        <v>41.805585960072293</v>
      </c>
      <c r="AZ88" s="36">
        <v>1.8234564732611556</v>
      </c>
      <c r="BA88" s="36">
        <v>1.0688603333333333</v>
      </c>
      <c r="BB88" s="36">
        <v>0</v>
      </c>
      <c r="BC88" s="7"/>
      <c r="BD88" s="32">
        <f t="shared" si="42"/>
        <v>1901.9853234711577</v>
      </c>
      <c r="BE88" s="32">
        <f t="shared" si="43"/>
        <v>976.5646474302431</v>
      </c>
      <c r="BF88" s="7"/>
      <c r="BG88" s="30">
        <v>3.5129762483781786</v>
      </c>
      <c r="BH88" s="36">
        <v>3.1581497563427092</v>
      </c>
      <c r="BI88" s="36">
        <v>11.855917031079866</v>
      </c>
      <c r="BJ88" s="28">
        <v>672.3433273859489</v>
      </c>
      <c r="BK88" s="28">
        <v>710.98753913825135</v>
      </c>
      <c r="BL88" s="28">
        <v>220.04999856753301</v>
      </c>
      <c r="BM88" s="30">
        <v>3.5993278377887288</v>
      </c>
      <c r="BN88" s="7"/>
      <c r="BO88" s="29">
        <f t="shared" si="45"/>
        <v>174.46963419068584</v>
      </c>
      <c r="BP88" s="29">
        <f t="shared" si="56"/>
        <v>5.9511889438351595</v>
      </c>
      <c r="BQ88" s="30">
        <f t="shared" si="57"/>
        <v>180.42082313452099</v>
      </c>
      <c r="BS88" s="31">
        <v>59.248199999999997</v>
      </c>
      <c r="BT88" s="31">
        <v>5.7148000000000003</v>
      </c>
      <c r="BU88" s="31">
        <v>0</v>
      </c>
      <c r="BV88" s="31">
        <v>0</v>
      </c>
      <c r="BW88" s="31">
        <v>0</v>
      </c>
      <c r="BX88" s="31">
        <v>5.1685000000000002E-2</v>
      </c>
      <c r="BY88" s="32">
        <f t="shared" si="46"/>
        <v>65.014685</v>
      </c>
      <c r="BZ88" s="31">
        <v>108.5188</v>
      </c>
      <c r="CA88" s="31">
        <v>0</v>
      </c>
      <c r="CB88" s="31">
        <v>1.0309760000000001</v>
      </c>
      <c r="CC88" s="31">
        <v>10.587569999999999</v>
      </c>
      <c r="CD88" s="31">
        <v>225.059</v>
      </c>
      <c r="CE88" s="31">
        <v>18.080936000000001</v>
      </c>
      <c r="CF88" s="32">
        <f t="shared" si="53"/>
        <v>363.27728200000001</v>
      </c>
      <c r="CG88" s="7"/>
      <c r="CH88" s="31">
        <v>91.686000000000007</v>
      </c>
      <c r="CI88" s="31"/>
      <c r="CJ88" s="31"/>
      <c r="CK88" s="31">
        <v>0</v>
      </c>
      <c r="CL88" s="31">
        <v>0</v>
      </c>
      <c r="CM88" s="32">
        <f t="shared" si="54"/>
        <v>83.553899633598164</v>
      </c>
      <c r="CN88" s="31">
        <v>79.34</v>
      </c>
      <c r="CO88" s="31">
        <v>25.545190000000002</v>
      </c>
      <c r="CP88" s="31">
        <v>120</v>
      </c>
      <c r="CQ88" s="31">
        <v>38.3988643</v>
      </c>
      <c r="CR88" s="31">
        <v>72.72</v>
      </c>
      <c r="CS88" s="32">
        <f t="shared" si="47"/>
        <v>54.67884483957117</v>
      </c>
      <c r="CU88" s="61">
        <v>53.073357275242955</v>
      </c>
      <c r="CV88" s="61">
        <v>7.1919741076492416</v>
      </c>
      <c r="CW88" s="61">
        <v>2.5250264623086407</v>
      </c>
      <c r="CX88" s="62">
        <v>4.3322362243637267</v>
      </c>
      <c r="CY88" s="63">
        <v>67.12259406956457</v>
      </c>
      <c r="DA88" s="32">
        <v>38839.55244444446</v>
      </c>
      <c r="DB88" s="30">
        <v>39.166157600383492</v>
      </c>
      <c r="DD88" s="50">
        <v>59025.242233181983</v>
      </c>
      <c r="DE88" s="29">
        <f t="shared" si="55"/>
        <v>58.339750168699759</v>
      </c>
      <c r="DF88" s="51">
        <f t="shared" si="48"/>
        <v>0.86915219796537602</v>
      </c>
      <c r="DH88" s="33"/>
      <c r="DI88" s="32"/>
      <c r="DK88" s="50"/>
      <c r="DL88" s="50"/>
      <c r="DN88" s="31"/>
      <c r="DO88" s="31"/>
      <c r="DQ88" s="29"/>
      <c r="DR88" s="29"/>
      <c r="DT88" s="54"/>
      <c r="DU88" s="54"/>
      <c r="DV88" s="51"/>
      <c r="DX88" s="33"/>
      <c r="DY88" s="33"/>
      <c r="DZ88" s="33"/>
      <c r="EA88" s="33"/>
      <c r="EB88" s="33"/>
      <c r="EC88" s="33"/>
      <c r="ED88" s="33"/>
      <c r="EE88" s="32"/>
      <c r="EF88" s="33"/>
      <c r="EG88" s="33"/>
      <c r="EH88" s="33"/>
      <c r="EI88" s="32"/>
      <c r="EJ88" s="33"/>
      <c r="EK88" s="33"/>
      <c r="EL88" s="33"/>
      <c r="EM88" s="33"/>
      <c r="EN88" s="32"/>
      <c r="EO88" s="32"/>
      <c r="EP88" s="70">
        <f t="shared" si="49"/>
        <v>11641.456144</v>
      </c>
    </row>
    <row r="89" spans="1:146" x14ac:dyDescent="0.4">
      <c r="A89" s="22">
        <v>2024</v>
      </c>
      <c r="B89" s="37">
        <v>45627</v>
      </c>
      <c r="C89" s="38">
        <f t="shared" si="35"/>
        <v>31</v>
      </c>
      <c r="D89" s="39">
        <v>1012.5564516129032</v>
      </c>
      <c r="E89" s="39">
        <v>1032.5</v>
      </c>
      <c r="F89" s="39">
        <v>70.118095238095222</v>
      </c>
      <c r="G89" s="39">
        <v>73.859499999999997</v>
      </c>
      <c r="H89" s="7"/>
      <c r="I89" s="40">
        <v>22.6</v>
      </c>
      <c r="J89" s="39">
        <v>27.05</v>
      </c>
      <c r="K89" s="39">
        <v>17</v>
      </c>
      <c r="L89" s="40">
        <v>23.1</v>
      </c>
      <c r="M89" s="22"/>
      <c r="N89" s="41">
        <v>5178.5791169999984</v>
      </c>
      <c r="O89" s="41">
        <v>3360.1469119999992</v>
      </c>
      <c r="P89" s="42">
        <f t="shared" si="50"/>
        <v>8538.7260289999977</v>
      </c>
      <c r="Q89" s="41">
        <v>1076.7388790000002</v>
      </c>
      <c r="R89" s="41">
        <v>442.851854</v>
      </c>
      <c r="S89" s="41">
        <v>1436.1414570000004</v>
      </c>
      <c r="T89" s="41">
        <v>4.4703059999999972</v>
      </c>
      <c r="U89" s="42">
        <f t="shared" si="51"/>
        <v>2955.7321900000006</v>
      </c>
      <c r="V89" s="42">
        <f t="shared" si="38"/>
        <v>11494.458218999998</v>
      </c>
      <c r="W89" s="39">
        <v>15.953592</v>
      </c>
      <c r="X89" s="42">
        <f t="shared" si="39"/>
        <v>11510.411810999998</v>
      </c>
      <c r="Z89" s="42">
        <v>23961</v>
      </c>
      <c r="AB89" s="41">
        <v>5828.7774090000003</v>
      </c>
      <c r="AC89" s="41">
        <v>676.13578700000005</v>
      </c>
      <c r="AD89" s="41">
        <v>5436.2227530000009</v>
      </c>
      <c r="AE89" s="41">
        <v>38.189175000000006</v>
      </c>
      <c r="AF89" s="42">
        <f t="shared" si="36"/>
        <v>11979.325124000001</v>
      </c>
      <c r="AH89" s="41">
        <v>3239.3780000000002</v>
      </c>
      <c r="AI89" s="41">
        <v>170.23448499999995</v>
      </c>
      <c r="AJ89" s="41">
        <v>1445.2293639999996</v>
      </c>
      <c r="AK89" s="41">
        <v>479.52321799999999</v>
      </c>
      <c r="AL89" s="41">
        <v>59.799673999999996</v>
      </c>
      <c r="AM89" s="41">
        <v>42.058012000000005</v>
      </c>
      <c r="AN89" s="42">
        <f t="shared" si="37"/>
        <v>2196.8447529999994</v>
      </c>
      <c r="AO89" s="43">
        <f t="shared" si="40"/>
        <v>0.19112207910492729</v>
      </c>
      <c r="AQ89" s="40">
        <v>40.994859870967744</v>
      </c>
      <c r="AR89" s="44">
        <v>40.994859870967815</v>
      </c>
      <c r="AS89" s="44">
        <v>0</v>
      </c>
      <c r="AT89" s="40">
        <v>1.0138000000000001E-2</v>
      </c>
      <c r="AU89" s="40">
        <v>4.8519849999999991</v>
      </c>
      <c r="AV89" s="40">
        <v>0</v>
      </c>
      <c r="AW89" s="40">
        <f t="shared" si="41"/>
        <v>41.155110960445469</v>
      </c>
      <c r="AX89" s="7"/>
      <c r="AY89" s="44">
        <v>39.984144709677494</v>
      </c>
      <c r="AZ89" s="44">
        <v>0</v>
      </c>
      <c r="BA89" s="44">
        <v>1.0107151612903227</v>
      </c>
      <c r="BB89" s="44">
        <v>0</v>
      </c>
      <c r="BC89" s="7"/>
      <c r="BD89" s="38">
        <f t="shared" si="42"/>
        <v>1838.600128656929</v>
      </c>
      <c r="BE89" s="38">
        <f t="shared" si="43"/>
        <v>894.60723230805604</v>
      </c>
      <c r="BF89" s="7"/>
      <c r="BG89" s="40">
        <v>3.0676927042695383</v>
      </c>
      <c r="BH89" s="44">
        <v>3.067692704269533</v>
      </c>
      <c r="BI89" s="44">
        <v>11.855917031079866</v>
      </c>
      <c r="BJ89" s="38">
        <v>680.40092101363041</v>
      </c>
      <c r="BK89" s="38">
        <v>717.93115918531907</v>
      </c>
      <c r="BL89" s="38">
        <v>220.04999856753301</v>
      </c>
      <c r="BM89" s="40">
        <v>3.1296127933175475</v>
      </c>
      <c r="BN89" s="7"/>
      <c r="BO89" s="39">
        <f t="shared" si="45"/>
        <v>144.39068921112278</v>
      </c>
      <c r="BP89" s="39">
        <f t="shared" si="56"/>
        <v>3.4902891199370161</v>
      </c>
      <c r="BQ89" s="40">
        <f t="shared" si="57"/>
        <v>147.88097833105979</v>
      </c>
      <c r="BS89" s="41">
        <v>14.062700000000001</v>
      </c>
      <c r="BT89" s="41">
        <v>0</v>
      </c>
      <c r="BU89" s="41">
        <v>0</v>
      </c>
      <c r="BV89" s="41">
        <v>0</v>
      </c>
      <c r="BW89" s="41">
        <v>1.873</v>
      </c>
      <c r="BX89" s="41">
        <v>1.7877000000000004E-2</v>
      </c>
      <c r="BY89" s="42">
        <f t="shared" si="46"/>
        <v>15.953577000000001</v>
      </c>
      <c r="BZ89" s="41">
        <v>0</v>
      </c>
      <c r="CA89" s="41">
        <v>0</v>
      </c>
      <c r="CB89" s="41">
        <v>3.5952700000000002</v>
      </c>
      <c r="CC89" s="41">
        <v>2.9022540000000001</v>
      </c>
      <c r="CD89" s="41">
        <v>31.675000000000001</v>
      </c>
      <c r="CE89" s="41">
        <v>1.6650999999999999E-2</v>
      </c>
      <c r="CF89" s="42">
        <f t="shared" si="53"/>
        <v>38.189175000000006</v>
      </c>
      <c r="CG89" s="7"/>
      <c r="CH89" s="41">
        <v>94.509174790000003</v>
      </c>
      <c r="CI89" s="41"/>
      <c r="CJ89" s="41"/>
      <c r="CK89" s="41">
        <v>55</v>
      </c>
      <c r="CL89" s="41">
        <v>62.101750850000002</v>
      </c>
      <c r="CM89" s="42">
        <f t="shared" si="54"/>
        <v>89.834359110767366</v>
      </c>
      <c r="CN89" s="41"/>
      <c r="CO89" s="41">
        <v>26.82</v>
      </c>
      <c r="CP89" s="41">
        <v>120</v>
      </c>
      <c r="CQ89" s="41">
        <v>34.299999999999997</v>
      </c>
      <c r="CR89" s="41"/>
      <c r="CS89" s="42">
        <f t="shared" si="47"/>
        <v>40.093773206674399</v>
      </c>
      <c r="CU89" s="64">
        <v>48.840224151626607</v>
      </c>
      <c r="CV89" s="64">
        <v>9.3200862784704235</v>
      </c>
      <c r="CW89" s="64">
        <v>2.0710116038012667</v>
      </c>
      <c r="CX89" s="65">
        <v>4.3226731234866822</v>
      </c>
      <c r="CY89" s="66">
        <v>64.553995157384975</v>
      </c>
      <c r="DA89" s="42">
        <v>31522.118010752703</v>
      </c>
      <c r="DB89" s="40">
        <v>31.119630546594607</v>
      </c>
      <c r="DD89" s="42">
        <v>59462.25663802262</v>
      </c>
      <c r="DE89" s="39">
        <f t="shared" si="55"/>
        <v>57.590563329803992</v>
      </c>
      <c r="DF89" s="55">
        <f t="shared" si="48"/>
        <v>0.89213011819634269</v>
      </c>
      <c r="DH89" s="39"/>
      <c r="DI89" s="42"/>
      <c r="DK89" s="42"/>
      <c r="DL89" s="42"/>
      <c r="DN89" s="41"/>
      <c r="DO89" s="41"/>
      <c r="DQ89" s="39"/>
      <c r="DR89" s="39"/>
      <c r="DT89" s="56"/>
      <c r="DU89" s="56"/>
      <c r="DV89" s="55"/>
      <c r="DX89" s="39"/>
      <c r="DY89" s="39"/>
      <c r="DZ89" s="39"/>
      <c r="EA89" s="39"/>
      <c r="EB89" s="39"/>
      <c r="EC89" s="39"/>
      <c r="ED89" s="39"/>
      <c r="EE89" s="42"/>
      <c r="EF89" s="39"/>
      <c r="EG89" s="39"/>
      <c r="EH89" s="39"/>
      <c r="EI89" s="42"/>
      <c r="EJ89" s="39"/>
      <c r="EK89" s="39"/>
      <c r="EL89" s="39"/>
      <c r="EM89" s="39"/>
      <c r="EN89" s="42"/>
      <c r="EO89" s="39"/>
      <c r="EP89" s="72">
        <f t="shared" si="49"/>
        <v>11979.325124000001</v>
      </c>
    </row>
    <row r="90" spans="1:146" x14ac:dyDescent="0.4">
      <c r="A90" s="26">
        <v>2025</v>
      </c>
      <c r="B90" s="27">
        <v>45658</v>
      </c>
      <c r="C90" s="28">
        <f t="shared" si="35"/>
        <v>31</v>
      </c>
      <c r="D90" s="29">
        <v>1032.6532258064517</v>
      </c>
      <c r="E90" s="29">
        <v>1053.5</v>
      </c>
      <c r="F90" s="29">
        <v>76.36375000000001</v>
      </c>
      <c r="G90" s="29">
        <v>79.688333333333333</v>
      </c>
      <c r="H90" s="7"/>
      <c r="I90" s="30">
        <v>26.317741935483863</v>
      </c>
      <c r="J90" s="29">
        <v>29.9</v>
      </c>
      <c r="K90" s="29">
        <v>20.6</v>
      </c>
      <c r="L90" s="30">
        <v>24.6</v>
      </c>
      <c r="M90" s="41"/>
      <c r="N90" s="31">
        <v>6855.34</v>
      </c>
      <c r="O90" s="31">
        <v>3711.93</v>
      </c>
      <c r="P90" s="32">
        <f t="shared" si="50"/>
        <v>10567.27</v>
      </c>
      <c r="Q90" s="31">
        <v>1113.57</v>
      </c>
      <c r="R90" s="31">
        <v>455.66</v>
      </c>
      <c r="S90" s="31">
        <v>1464.15</v>
      </c>
      <c r="T90" s="31">
        <v>4.88</v>
      </c>
      <c r="U90" s="32">
        <f t="shared" si="51"/>
        <v>3033.38</v>
      </c>
      <c r="V90" s="32">
        <f t="shared" si="38"/>
        <v>13600.650000000001</v>
      </c>
      <c r="W90" s="33">
        <v>51.463925000000003</v>
      </c>
      <c r="X90" s="32">
        <f t="shared" si="39"/>
        <v>13652.113925000001</v>
      </c>
      <c r="Z90" s="32">
        <v>27696</v>
      </c>
      <c r="AB90" s="34">
        <v>8353.4772720000001</v>
      </c>
      <c r="AC90" s="34">
        <v>877.24907999999994</v>
      </c>
      <c r="AD90" s="34">
        <v>4584.0437899999997</v>
      </c>
      <c r="AE90" s="34">
        <v>316.79214399999995</v>
      </c>
      <c r="AF90" s="32">
        <f t="shared" si="36"/>
        <v>14131.562285999998</v>
      </c>
      <c r="AH90" s="31">
        <v>2427.0360289999999</v>
      </c>
      <c r="AI90" s="31">
        <v>147.16915499999996</v>
      </c>
      <c r="AJ90" s="31">
        <v>1451.3605689999997</v>
      </c>
      <c r="AK90" s="31">
        <v>453.28322300000008</v>
      </c>
      <c r="AL90" s="31">
        <v>63.623793000000006</v>
      </c>
      <c r="AM90" s="31">
        <v>41.571021000000002</v>
      </c>
      <c r="AN90" s="32">
        <f t="shared" si="37"/>
        <v>2157.0077610000003</v>
      </c>
      <c r="AO90" s="35">
        <f t="shared" si="40"/>
        <v>0.15859593188560842</v>
      </c>
      <c r="AQ90" s="30">
        <v>57.790219806451603</v>
      </c>
      <c r="AR90" s="36">
        <v>57.396725474650651</v>
      </c>
      <c r="AS90" s="36">
        <v>0.39349433180077087</v>
      </c>
      <c r="AT90" s="30">
        <v>0.46020899999999998</v>
      </c>
      <c r="AU90" s="30">
        <v>8.3066650000000024</v>
      </c>
      <c r="AV90" s="30">
        <v>32.505223000000001</v>
      </c>
      <c r="AW90" s="30">
        <f t="shared" si="41"/>
        <v>58.755309814516117</v>
      </c>
      <c r="AX90" s="7"/>
      <c r="AY90" s="36">
        <v>56.924685152070005</v>
      </c>
      <c r="AZ90" s="36">
        <v>0.39349433180077087</v>
      </c>
      <c r="BA90" s="36">
        <v>0.47204032258064516</v>
      </c>
      <c r="BB90" s="36">
        <v>0</v>
      </c>
      <c r="BC90" s="7"/>
      <c r="BD90" s="32">
        <f t="shared" si="42"/>
        <v>1831.558544725277</v>
      </c>
      <c r="BE90" s="32">
        <f t="shared" si="43"/>
        <v>1082.674538459024</v>
      </c>
      <c r="BF90" s="7"/>
      <c r="BG90" s="30">
        <v>3.38237007434609</v>
      </c>
      <c r="BH90" s="36">
        <v>3.3106032630455879</v>
      </c>
      <c r="BI90" s="36">
        <v>13.850576687528244</v>
      </c>
      <c r="BJ90" s="28">
        <v>675.04430006442976</v>
      </c>
      <c r="BK90" s="28">
        <v>745.90151858564707</v>
      </c>
      <c r="BL90" s="28">
        <v>220.04999856753301</v>
      </c>
      <c r="BM90" s="30">
        <v>3.5292946047972413</v>
      </c>
      <c r="BN90" s="7"/>
      <c r="BO90" s="29">
        <f t="shared" si="45"/>
        <v>224.42611896148009</v>
      </c>
      <c r="BP90" s="29">
        <f t="shared" si="56"/>
        <v>13.659389774757937</v>
      </c>
      <c r="BQ90" s="30">
        <f t="shared" si="57"/>
        <v>238.08550873623801</v>
      </c>
      <c r="BS90" s="31">
        <v>0</v>
      </c>
      <c r="BT90" s="31">
        <v>4.4066000000000001</v>
      </c>
      <c r="BU90" s="31">
        <v>0</v>
      </c>
      <c r="BV90" s="31">
        <v>0</v>
      </c>
      <c r="BW90" s="31">
        <v>47.048999999999999</v>
      </c>
      <c r="BX90" s="31">
        <v>8.3330000000000001E-3</v>
      </c>
      <c r="BY90" s="32">
        <f t="shared" si="46"/>
        <v>51.463932999999997</v>
      </c>
      <c r="BZ90" s="31">
        <v>263.1157</v>
      </c>
      <c r="CA90" s="31">
        <v>0</v>
      </c>
      <c r="CB90" s="31">
        <v>3.3040500000000002</v>
      </c>
      <c r="CC90" s="31">
        <v>8.5430400000000013</v>
      </c>
      <c r="CD90" s="31">
        <v>0</v>
      </c>
      <c r="CE90" s="31">
        <v>41.829374999999999</v>
      </c>
      <c r="CF90" s="32">
        <f t="shared" si="53"/>
        <v>316.79216500000007</v>
      </c>
      <c r="CG90" s="7"/>
      <c r="CH90" s="31">
        <v>0</v>
      </c>
      <c r="CI90" s="31"/>
      <c r="CJ90" s="31"/>
      <c r="CK90" s="31">
        <v>128.05851346468575</v>
      </c>
      <c r="CL90" s="31">
        <v>51.874354974198965</v>
      </c>
      <c r="CM90" s="32">
        <f t="shared" si="54"/>
        <v>117.08116573601166</v>
      </c>
      <c r="CN90" s="31">
        <v>59.506888246772107</v>
      </c>
      <c r="CO90" s="31">
        <v>27.192397209485325</v>
      </c>
      <c r="CP90" s="31">
        <v>120</v>
      </c>
      <c r="CQ90" s="31"/>
      <c r="CR90" s="31">
        <v>58.060552900921905</v>
      </c>
      <c r="CS90" s="32">
        <f t="shared" si="47"/>
        <v>60.610220697444376</v>
      </c>
      <c r="CU90" s="61">
        <v>51.934735002572012</v>
      </c>
      <c r="CV90" s="61">
        <v>8.0524100558253782</v>
      </c>
      <c r="CW90" s="61">
        <v>2.2855106970924735</v>
      </c>
      <c r="CX90" s="62">
        <v>3.9318149006836469</v>
      </c>
      <c r="CY90" s="63">
        <v>66.204470656173513</v>
      </c>
      <c r="DA90" s="32">
        <v>39856.240255376426</v>
      </c>
      <c r="DB90" s="30">
        <v>38.578703131314995</v>
      </c>
      <c r="DD90" s="50">
        <v>58785.994735918444</v>
      </c>
      <c r="DE90" s="29">
        <f t="shared" si="55"/>
        <v>55.800659455072086</v>
      </c>
      <c r="DF90" s="51">
        <f t="shared" si="48"/>
        <v>0.842853343618853</v>
      </c>
      <c r="DH90" s="33"/>
      <c r="DI90" s="32"/>
      <c r="DK90" s="50"/>
      <c r="DL90" s="50"/>
      <c r="DN90" s="31"/>
      <c r="DO90" s="31"/>
      <c r="DQ90" s="29"/>
      <c r="DR90" s="29"/>
      <c r="DT90" s="54"/>
      <c r="DU90" s="54"/>
      <c r="DV90" s="51"/>
      <c r="DX90" s="33"/>
      <c r="DY90" s="33"/>
      <c r="DZ90" s="33"/>
      <c r="EA90" s="33"/>
      <c r="EB90" s="33"/>
      <c r="EC90" s="33"/>
      <c r="ED90" s="33"/>
      <c r="EE90" s="32"/>
      <c r="EF90" s="33"/>
      <c r="EG90" s="33"/>
      <c r="EH90" s="33"/>
      <c r="EI90" s="32"/>
      <c r="EJ90" s="33"/>
      <c r="EK90" s="33"/>
      <c r="EL90" s="33"/>
      <c r="EM90" s="33"/>
      <c r="EN90" s="32"/>
      <c r="EO90" s="32"/>
      <c r="EP90" s="70">
        <f t="shared" si="49"/>
        <v>14131.562285999998</v>
      </c>
    </row>
    <row r="91" spans="1:146" x14ac:dyDescent="0.4">
      <c r="A91" s="22">
        <v>2025</v>
      </c>
      <c r="B91" s="37">
        <v>45689</v>
      </c>
      <c r="C91" s="38">
        <f t="shared" si="35"/>
        <v>28</v>
      </c>
      <c r="D91" s="39">
        <v>1051.9642857142858</v>
      </c>
      <c r="E91" s="39">
        <v>1064.375</v>
      </c>
      <c r="F91" s="39">
        <v>71.533157894736831</v>
      </c>
      <c r="G91" s="39">
        <v>75.438000000000002</v>
      </c>
      <c r="H91" s="7"/>
      <c r="I91" s="40">
        <v>26.050000000000004</v>
      </c>
      <c r="J91" s="39">
        <v>31.85</v>
      </c>
      <c r="K91" s="39">
        <v>17.850000000000001</v>
      </c>
      <c r="L91" s="40">
        <v>23.6</v>
      </c>
      <c r="M91" s="56"/>
      <c r="N91" s="41">
        <v>6269.1215949999969</v>
      </c>
      <c r="O91" s="41">
        <v>3555.5327320000001</v>
      </c>
      <c r="P91" s="42">
        <f t="shared" si="50"/>
        <v>9824.6543269999966</v>
      </c>
      <c r="Q91" s="41">
        <v>1133.998145</v>
      </c>
      <c r="R91" s="41">
        <v>509.29185099999995</v>
      </c>
      <c r="S91" s="41">
        <v>1437.3185099999998</v>
      </c>
      <c r="T91" s="41">
        <v>2.7960879999999997</v>
      </c>
      <c r="U91" s="42">
        <f t="shared" si="51"/>
        <v>3080.6085059999996</v>
      </c>
      <c r="V91" s="42">
        <f t="shared" si="38"/>
        <v>12905.262832999997</v>
      </c>
      <c r="W91" s="39">
        <v>39.429490999999999</v>
      </c>
      <c r="X91" s="42">
        <f t="shared" si="39"/>
        <v>12944.692323999998</v>
      </c>
      <c r="Z91" s="42">
        <v>30257</v>
      </c>
      <c r="AB91" s="41">
        <v>7958.0799209999986</v>
      </c>
      <c r="AC91" s="41">
        <v>789.16659199999992</v>
      </c>
      <c r="AD91" s="41">
        <v>4134.2347919999993</v>
      </c>
      <c r="AE91" s="41">
        <v>542.24956999999995</v>
      </c>
      <c r="AF91" s="42">
        <f t="shared" si="36"/>
        <v>13423.730874999997</v>
      </c>
      <c r="AH91" s="41">
        <v>2131.703074</v>
      </c>
      <c r="AI91" s="41">
        <v>133.97071399999999</v>
      </c>
      <c r="AJ91" s="41">
        <v>1374.6385349999996</v>
      </c>
      <c r="AK91" s="41">
        <v>397.11035000000004</v>
      </c>
      <c r="AL91" s="41">
        <v>57.898837</v>
      </c>
      <c r="AM91" s="41">
        <v>38.913282000000009</v>
      </c>
      <c r="AN91" s="42">
        <f t="shared" si="37"/>
        <v>2002.5317179999995</v>
      </c>
      <c r="AO91" s="43">
        <f t="shared" si="40"/>
        <v>0.15517171125560755</v>
      </c>
      <c r="AQ91" s="40">
        <v>61.905647749999964</v>
      </c>
      <c r="AR91" s="44">
        <v>60.882766896758547</v>
      </c>
      <c r="AS91" s="44">
        <v>1.0228808532412446</v>
      </c>
      <c r="AT91" s="40">
        <v>2.5194179999999995</v>
      </c>
      <c r="AU91" s="40">
        <v>14.136981999999993</v>
      </c>
      <c r="AV91" s="40">
        <v>32.514823</v>
      </c>
      <c r="AW91" s="40">
        <f t="shared" si="41"/>
        <v>63.272848626530575</v>
      </c>
      <c r="AX91" s="7"/>
      <c r="AY91" s="44">
        <v>60.461282253901402</v>
      </c>
      <c r="AZ91" s="44">
        <v>1.0228808532412446</v>
      </c>
      <c r="BA91" s="44">
        <v>0.42148464285714282</v>
      </c>
      <c r="BB91" s="44">
        <v>0</v>
      </c>
      <c r="BC91" s="7"/>
      <c r="BD91" s="38">
        <f t="shared" si="42"/>
        <v>1870.0206764309517</v>
      </c>
      <c r="BE91" s="38">
        <f t="shared" si="43"/>
        <v>1108.6168320519159</v>
      </c>
      <c r="BF91" s="7"/>
      <c r="BG91" s="40">
        <v>3.39223305669422</v>
      </c>
      <c r="BH91" s="44">
        <v>3.2140781860281318</v>
      </c>
      <c r="BI91" s="44">
        <v>13.996167452294619</v>
      </c>
      <c r="BJ91" s="38">
        <v>670.25604060926503</v>
      </c>
      <c r="BK91" s="38">
        <v>748.57035776385237</v>
      </c>
      <c r="BL91" s="38">
        <v>220.04999856753301</v>
      </c>
      <c r="BM91" s="40">
        <v>3.6149891950945632</v>
      </c>
      <c r="BN91" s="7"/>
      <c r="BO91" s="39">
        <f t="shared" si="45"/>
        <v>217.77610264523349</v>
      </c>
      <c r="BP91" s="39">
        <f t="shared" si="56"/>
        <v>19.426067561334438</v>
      </c>
      <c r="BQ91" s="40">
        <f t="shared" si="57"/>
        <v>237.20217020656793</v>
      </c>
      <c r="BS91" s="41">
        <v>0</v>
      </c>
      <c r="BT91" s="41">
        <v>0</v>
      </c>
      <c r="BU91" s="41">
        <v>0</v>
      </c>
      <c r="BV91" s="41">
        <v>0</v>
      </c>
      <c r="BW91" s="41">
        <v>39.393000000000001</v>
      </c>
      <c r="BX91" s="41">
        <v>3.6491000000000003E-2</v>
      </c>
      <c r="BY91" s="42">
        <f t="shared" si="46"/>
        <v>39.429490999999999</v>
      </c>
      <c r="BZ91" s="41">
        <v>479.39979999999997</v>
      </c>
      <c r="CA91" s="41">
        <v>1.6064000000000001</v>
      </c>
      <c r="CB91" s="41">
        <v>0</v>
      </c>
      <c r="CC91" s="41">
        <v>10.390158</v>
      </c>
      <c r="CD91" s="41">
        <v>4.9340000000000002</v>
      </c>
      <c r="CE91" s="41">
        <v>45.919260000000001</v>
      </c>
      <c r="CF91" s="42">
        <f t="shared" si="53"/>
        <v>542.24961799999994</v>
      </c>
      <c r="CG91" s="7"/>
      <c r="CH91" s="41"/>
      <c r="CI91" s="41"/>
      <c r="CJ91" s="41"/>
      <c r="CK91" s="41">
        <v>103.7742746173178</v>
      </c>
      <c r="CL91" s="41">
        <v>60.608369186922815</v>
      </c>
      <c r="CM91" s="42">
        <f t="shared" si="54"/>
        <v>103.73432565994828</v>
      </c>
      <c r="CN91" s="41">
        <v>70.569999999999993</v>
      </c>
      <c r="CO91" s="41"/>
      <c r="CP91" s="41">
        <v>120</v>
      </c>
      <c r="CQ91" s="41">
        <v>103.59942663153628</v>
      </c>
      <c r="CR91" s="41">
        <v>60.612779256460144</v>
      </c>
      <c r="CS91" s="42">
        <f t="shared" si="47"/>
        <v>70.76540971763302</v>
      </c>
      <c r="CU91" s="64">
        <v>54.260629297180877</v>
      </c>
      <c r="CV91" s="64">
        <v>8.497326974150786</v>
      </c>
      <c r="CW91" s="64">
        <v>2.457952443555973</v>
      </c>
      <c r="CX91" s="65">
        <v>3.9591265042167567</v>
      </c>
      <c r="CY91" s="66">
        <v>69.175035219104387</v>
      </c>
      <c r="DA91" s="42">
        <v>60758.616086309696</v>
      </c>
      <c r="DB91" s="40">
        <v>57.776812398180049</v>
      </c>
      <c r="DD91" s="42">
        <v>61551.464170730877</v>
      </c>
      <c r="DE91" s="39">
        <f t="shared" si="55"/>
        <v>57.828739091702523</v>
      </c>
      <c r="DF91" s="55">
        <f t="shared" si="48"/>
        <v>0.83597700974833322</v>
      </c>
      <c r="DH91" s="39"/>
      <c r="DI91" s="42"/>
      <c r="DK91" s="42"/>
      <c r="DL91" s="42"/>
      <c r="DN91" s="41"/>
      <c r="DO91" s="41"/>
      <c r="DQ91" s="39"/>
      <c r="DR91" s="39"/>
      <c r="DT91" s="56"/>
      <c r="DU91" s="56"/>
      <c r="DV91" s="55"/>
      <c r="DX91" s="39"/>
      <c r="DY91" s="39"/>
      <c r="DZ91" s="39"/>
      <c r="EA91" s="39"/>
      <c r="EB91" s="39"/>
      <c r="EC91" s="39"/>
      <c r="ED91" s="39"/>
      <c r="EE91" s="42"/>
      <c r="EF91" s="39"/>
      <c r="EG91" s="39"/>
      <c r="EH91" s="39"/>
      <c r="EI91" s="42"/>
      <c r="EJ91" s="39"/>
      <c r="EK91" s="39"/>
      <c r="EL91" s="39"/>
      <c r="EM91" s="39"/>
      <c r="EN91" s="42"/>
      <c r="EO91" s="39"/>
      <c r="EP91" s="72">
        <f t="shared" si="49"/>
        <v>13423.730874999997</v>
      </c>
    </row>
    <row r="92" spans="1:146" x14ac:dyDescent="0.4">
      <c r="A92" s="26">
        <v>2025</v>
      </c>
      <c r="B92" s="27">
        <v>45717</v>
      </c>
      <c r="C92" s="28">
        <f t="shared" si="35"/>
        <v>31</v>
      </c>
      <c r="D92" s="29">
        <v>1063.7337096774118</v>
      </c>
      <c r="E92" s="29">
        <v>1073.875</v>
      </c>
      <c r="F92" s="29">
        <v>68.239047619047625</v>
      </c>
      <c r="G92" s="29">
        <v>72.732857142857142</v>
      </c>
      <c r="H92" s="7"/>
      <c r="I92" s="30">
        <v>23.430645161290318</v>
      </c>
      <c r="J92" s="29">
        <v>31.049999999999997</v>
      </c>
      <c r="K92" s="29">
        <v>17.899999999999999</v>
      </c>
      <c r="L92" s="30">
        <v>21.7</v>
      </c>
      <c r="M92" s="22"/>
      <c r="N92" s="31">
        <v>5266.2230599999966</v>
      </c>
      <c r="O92" s="31">
        <v>3303.479746</v>
      </c>
      <c r="P92" s="32">
        <f t="shared" si="50"/>
        <v>8569.7028059999975</v>
      </c>
      <c r="Q92" s="31">
        <v>1098.2420719999998</v>
      </c>
      <c r="R92" s="31">
        <v>457.65574100000003</v>
      </c>
      <c r="S92" s="31">
        <v>1525.7888369999985</v>
      </c>
      <c r="T92" s="31">
        <v>1.7803180000000016</v>
      </c>
      <c r="U92" s="32">
        <f t="shared" si="51"/>
        <v>3081.6866499999983</v>
      </c>
      <c r="V92" s="32">
        <f t="shared" si="38"/>
        <v>11651.389455999995</v>
      </c>
      <c r="W92" s="33">
        <v>116.49852300000001</v>
      </c>
      <c r="X92" s="32">
        <f t="shared" si="39"/>
        <v>11767.887978999996</v>
      </c>
      <c r="Z92" s="32">
        <v>28739</v>
      </c>
      <c r="AB92" s="34">
        <v>7032.0935299999956</v>
      </c>
      <c r="AC92" s="34">
        <v>914.01741599999991</v>
      </c>
      <c r="AD92" s="34">
        <v>4110.521200000001</v>
      </c>
      <c r="AE92" s="34">
        <v>146.971361</v>
      </c>
      <c r="AF92" s="32">
        <f t="shared" si="36"/>
        <v>12203.603506999996</v>
      </c>
      <c r="AH92" s="31">
        <v>2054.1665039999998</v>
      </c>
      <c r="AI92" s="31">
        <v>123.78293099999996</v>
      </c>
      <c r="AJ92" s="31">
        <v>1438.175291</v>
      </c>
      <c r="AK92" s="31">
        <v>382.07810799999993</v>
      </c>
      <c r="AL92" s="31">
        <v>70.004847999999996</v>
      </c>
      <c r="AM92" s="31">
        <v>42.313517999999995</v>
      </c>
      <c r="AN92" s="32">
        <f t="shared" si="37"/>
        <v>2056.3546959999999</v>
      </c>
      <c r="AO92" s="35">
        <f t="shared" si="40"/>
        <v>0.17649008333002381</v>
      </c>
      <c r="AQ92" s="30">
        <v>47.480965161290328</v>
      </c>
      <c r="AR92" s="36">
        <v>46.877679641649543</v>
      </c>
      <c r="AS92" s="36">
        <v>0.56915213254396191</v>
      </c>
      <c r="AT92" s="30">
        <v>6.4626049999999999</v>
      </c>
      <c r="AU92" s="30">
        <v>27.183302000000005</v>
      </c>
      <c r="AV92" s="30">
        <v>12.783466000000001</v>
      </c>
      <c r="AW92" s="30">
        <f t="shared" si="41"/>
        <v>48.884947406144398</v>
      </c>
      <c r="AX92" s="7"/>
      <c r="AY92" s="36">
        <v>45.445192867455994</v>
      </c>
      <c r="AZ92" s="36">
        <v>0.56915213254396191</v>
      </c>
      <c r="BA92" s="36">
        <v>1.4324867741935483</v>
      </c>
      <c r="BB92" s="36">
        <v>0</v>
      </c>
      <c r="BC92" s="7"/>
      <c r="BD92" s="32">
        <f t="shared" si="42"/>
        <v>1810.2205623763953</v>
      </c>
      <c r="BE92" s="32">
        <f t="shared" si="43"/>
        <v>1043.1050383813495</v>
      </c>
      <c r="BF92" s="7"/>
      <c r="BG92" s="30">
        <v>3.3240279263038834</v>
      </c>
      <c r="BH92" s="36">
        <v>3.1966263983351983</v>
      </c>
      <c r="BI92" s="36">
        <v>13.817334851603899</v>
      </c>
      <c r="BJ92" s="28">
        <v>667.94524550572089</v>
      </c>
      <c r="BK92" s="28">
        <v>753.44130203728275</v>
      </c>
      <c r="BL92" s="28">
        <v>220.04999856753301</v>
      </c>
      <c r="BM92" s="30">
        <v>3.7204923907020055</v>
      </c>
      <c r="BN92" s="7"/>
      <c r="BO92" s="29">
        <f t="shared" si="45"/>
        <v>181.20998811421171</v>
      </c>
      <c r="BP92" s="29">
        <f t="shared" si="56"/>
        <v>27.61069041087228</v>
      </c>
      <c r="BQ92" s="30">
        <f t="shared" si="57"/>
        <v>208.82067852508399</v>
      </c>
      <c r="BS92" s="31">
        <v>0</v>
      </c>
      <c r="BT92" s="31">
        <v>0</v>
      </c>
      <c r="BU92" s="31">
        <v>0</v>
      </c>
      <c r="BV92" s="31">
        <v>0</v>
      </c>
      <c r="BW92" s="31">
        <v>116.462</v>
      </c>
      <c r="BX92" s="31">
        <v>3.6523E-2</v>
      </c>
      <c r="BY92" s="32">
        <f t="shared" si="46"/>
        <v>116.49852300000001</v>
      </c>
      <c r="BZ92" s="31">
        <v>85.415600000000012</v>
      </c>
      <c r="CA92" s="31">
        <v>26.523499999999999</v>
      </c>
      <c r="CB92" s="31">
        <v>0</v>
      </c>
      <c r="CC92" s="31">
        <v>10.22175</v>
      </c>
      <c r="CD92" s="31">
        <v>3.1269999999999998</v>
      </c>
      <c r="CE92" s="31">
        <v>21.683426000000001</v>
      </c>
      <c r="CF92" s="32">
        <f t="shared" si="53"/>
        <v>146.97127600000002</v>
      </c>
      <c r="CG92" s="7"/>
      <c r="CH92" s="31"/>
      <c r="CI92" s="31"/>
      <c r="CJ92" s="31"/>
      <c r="CK92" s="31">
        <v>87.815596503580565</v>
      </c>
      <c r="CL92" s="31">
        <v>50.674561235385916</v>
      </c>
      <c r="CM92" s="32">
        <f t="shared" si="54"/>
        <v>87.803952561698992</v>
      </c>
      <c r="CN92" s="31">
        <v>75.688563643332998</v>
      </c>
      <c r="CO92" s="31"/>
      <c r="CP92" s="31">
        <v>120</v>
      </c>
      <c r="CQ92" s="31">
        <v>120.90951934761753</v>
      </c>
      <c r="CR92" s="31">
        <v>67.489220107560499</v>
      </c>
      <c r="CS92" s="32">
        <f t="shared" si="47"/>
        <v>64.863529209159708</v>
      </c>
      <c r="CU92" s="61">
        <v>54.405054394624294</v>
      </c>
      <c r="CV92" s="61">
        <v>8.8182888626674458</v>
      </c>
      <c r="CW92" s="61">
        <v>2.3578024425416197</v>
      </c>
      <c r="CX92" s="62">
        <v>4.0073141918218829</v>
      </c>
      <c r="CY92" s="63">
        <v>69.588459891655233</v>
      </c>
      <c r="DA92" s="32">
        <v>55354.376639785041</v>
      </c>
      <c r="DB92" s="30">
        <v>52.067202868312592</v>
      </c>
      <c r="DD92" s="50">
        <v>65091.855912052837</v>
      </c>
      <c r="DE92" s="29">
        <f t="shared" si="55"/>
        <v>60.613996891679982</v>
      </c>
      <c r="DF92" s="51">
        <f t="shared" si="48"/>
        <v>0.87103518293194138</v>
      </c>
      <c r="DH92" s="33"/>
      <c r="DI92" s="32"/>
      <c r="DK92" s="50"/>
      <c r="DL92" s="50"/>
      <c r="DN92" s="31"/>
      <c r="DO92" s="31"/>
      <c r="DQ92" s="29"/>
      <c r="DR92" s="29"/>
      <c r="DT92" s="54"/>
      <c r="DU92" s="54"/>
      <c r="DV92" s="51"/>
      <c r="DX92" s="33"/>
      <c r="DY92" s="33"/>
      <c r="DZ92" s="33"/>
      <c r="EA92" s="33"/>
      <c r="EB92" s="33"/>
      <c r="EC92" s="33"/>
      <c r="ED92" s="33"/>
      <c r="EE92" s="32"/>
      <c r="EF92" s="33"/>
      <c r="EG92" s="33"/>
      <c r="EH92" s="33"/>
      <c r="EI92" s="32"/>
      <c r="EJ92" s="33"/>
      <c r="EK92" s="33"/>
      <c r="EL92" s="33"/>
      <c r="EM92" s="33"/>
      <c r="EN92" s="32"/>
      <c r="EO92" s="32"/>
      <c r="EP92" s="70">
        <f t="shared" si="49"/>
        <v>12203.603506999996</v>
      </c>
    </row>
    <row r="93" spans="1:146" x14ac:dyDescent="0.4">
      <c r="A93" s="22">
        <v>2025</v>
      </c>
      <c r="B93" s="37">
        <v>45748</v>
      </c>
      <c r="C93" s="38">
        <f t="shared" si="35"/>
        <v>30</v>
      </c>
      <c r="D93" s="39">
        <v>1073.6830666666615</v>
      </c>
      <c r="E93" s="39">
        <v>1172</v>
      </c>
      <c r="F93" s="39">
        <v>63.835789473684201</v>
      </c>
      <c r="G93" s="39">
        <v>68.626666666666679</v>
      </c>
      <c r="H93" s="7"/>
      <c r="I93" s="40">
        <v>18.419999999999998</v>
      </c>
      <c r="J93" s="39">
        <v>23</v>
      </c>
      <c r="K93" s="39">
        <v>12.75</v>
      </c>
      <c r="L93" s="40">
        <v>17.8</v>
      </c>
      <c r="M93" s="22"/>
      <c r="N93" s="41">
        <v>3991.3226290000016</v>
      </c>
      <c r="O93" s="41">
        <v>2927.3249899999978</v>
      </c>
      <c r="P93" s="42">
        <f t="shared" si="50"/>
        <v>6918.6476189999994</v>
      </c>
      <c r="Q93" s="41">
        <v>988.146343</v>
      </c>
      <c r="R93" s="41">
        <v>444.296558</v>
      </c>
      <c r="S93" s="41">
        <v>1469.6406070000012</v>
      </c>
      <c r="T93" s="41">
        <v>2.0937829999999997</v>
      </c>
      <c r="U93" s="42">
        <f t="shared" si="51"/>
        <v>2902.0835080000011</v>
      </c>
      <c r="V93" s="42">
        <f t="shared" si="38"/>
        <v>9820.7311270000009</v>
      </c>
      <c r="W93" s="39">
        <v>150.689347</v>
      </c>
      <c r="X93" s="42">
        <f t="shared" si="39"/>
        <v>9971.4204740000005</v>
      </c>
      <c r="Z93" s="42">
        <v>18247</v>
      </c>
      <c r="AB93" s="41">
        <v>5414.5000950000012</v>
      </c>
      <c r="AC93" s="41">
        <v>898.24147500000004</v>
      </c>
      <c r="AD93" s="41">
        <v>3995.9718579999999</v>
      </c>
      <c r="AE93" s="41">
        <v>9.9609419999999993</v>
      </c>
      <c r="AF93" s="42">
        <f t="shared" si="36"/>
        <v>10318.674370000001</v>
      </c>
      <c r="AH93" s="41">
        <v>1949.8173789999992</v>
      </c>
      <c r="AI93" s="41">
        <v>129.90513300000001</v>
      </c>
      <c r="AJ93" s="41">
        <v>1445.9233850000003</v>
      </c>
      <c r="AK93" s="41">
        <v>352.88970199999994</v>
      </c>
      <c r="AL93" s="41">
        <v>75.67840799999999</v>
      </c>
      <c r="AM93" s="41">
        <v>41.757850999999988</v>
      </c>
      <c r="AN93" s="42">
        <f t="shared" si="37"/>
        <v>2046.1544790000003</v>
      </c>
      <c r="AO93" s="43">
        <f t="shared" si="40"/>
        <v>0.20835052426743828</v>
      </c>
      <c r="AQ93" s="40">
        <v>38.237330800000009</v>
      </c>
      <c r="AR93" s="44">
        <v>38.187369633333411</v>
      </c>
      <c r="AS93" s="44">
        <v>0</v>
      </c>
      <c r="AT93" s="40">
        <v>1.6130000000000001E-3</v>
      </c>
      <c r="AU93" s="40">
        <v>2.9274030000000009</v>
      </c>
      <c r="AV93" s="40">
        <v>0</v>
      </c>
      <c r="AW93" s="40">
        <f t="shared" si="41"/>
        <v>38.337064629920647</v>
      </c>
      <c r="AX93" s="7"/>
      <c r="AY93" s="44">
        <v>37.879788966666744</v>
      </c>
      <c r="AZ93" s="44">
        <v>0</v>
      </c>
      <c r="BA93" s="44">
        <v>0.30758066666666667</v>
      </c>
      <c r="BB93" s="44">
        <v>0</v>
      </c>
      <c r="BC93" s="7"/>
      <c r="BD93" s="38">
        <f t="shared" si="42"/>
        <v>1784.2718842430829</v>
      </c>
      <c r="BE93" s="38">
        <f t="shared" si="43"/>
        <v>936.25788936878746</v>
      </c>
      <c r="BF93" s="7"/>
      <c r="BG93" s="40">
        <v>3.2274513343038582</v>
      </c>
      <c r="BH93" s="44">
        <v>3.227451334303852</v>
      </c>
      <c r="BI93" s="44">
        <v>13.817334851603899</v>
      </c>
      <c r="BJ93" s="38">
        <v>665.06924410865429</v>
      </c>
      <c r="BK93" s="38">
        <v>754.13727131667804</v>
      </c>
      <c r="BL93" s="38">
        <v>220.04999856753301</v>
      </c>
      <c r="BM93" s="40">
        <v>3.2709073671031632</v>
      </c>
      <c r="BN93" s="7"/>
      <c r="BO93" s="39">
        <f t="shared" si="45"/>
        <v>137.12124923408672</v>
      </c>
      <c r="BP93" s="39">
        <f t="shared" si="56"/>
        <v>2.2087364671550049</v>
      </c>
      <c r="BQ93" s="40">
        <f t="shared" si="57"/>
        <v>139.32998570124172</v>
      </c>
      <c r="BS93" s="41">
        <v>0</v>
      </c>
      <c r="BT93" s="41">
        <v>53.721299999999999</v>
      </c>
      <c r="BU93" s="41">
        <v>0</v>
      </c>
      <c r="BV93" s="41">
        <v>0</v>
      </c>
      <c r="BW93" s="41">
        <v>96.963999999999999</v>
      </c>
      <c r="BX93" s="41">
        <v>3.5729999999999998E-3</v>
      </c>
      <c r="BY93" s="42">
        <f t="shared" si="46"/>
        <v>150.688873</v>
      </c>
      <c r="BZ93" s="41">
        <v>0</v>
      </c>
      <c r="CA93" s="41">
        <v>0</v>
      </c>
      <c r="CB93" s="41">
        <v>0</v>
      </c>
      <c r="CC93" s="41">
        <v>9.9404699999999995</v>
      </c>
      <c r="CD93" s="41">
        <v>0</v>
      </c>
      <c r="CE93" s="41">
        <v>1.5272000000000001E-2</v>
      </c>
      <c r="CF93" s="42">
        <f t="shared" si="53"/>
        <v>9.955741999999999</v>
      </c>
      <c r="CG93" s="7"/>
      <c r="CH93" s="41"/>
      <c r="CI93" s="41"/>
      <c r="CJ93" s="41"/>
      <c r="CK93" s="41">
        <v>73.244296852440087</v>
      </c>
      <c r="CL93" s="41"/>
      <c r="CM93" s="42">
        <f t="shared" si="54"/>
        <v>47.1306199230782</v>
      </c>
      <c r="CN93" s="41"/>
      <c r="CO93" s="41"/>
      <c r="CP93" s="41">
        <v>120</v>
      </c>
      <c r="CQ93" s="41"/>
      <c r="CR93" s="41"/>
      <c r="CS93" s="42">
        <f t="shared" si="47"/>
        <v>119.8159213045095</v>
      </c>
      <c r="CU93" s="64">
        <v>52.42843699687166</v>
      </c>
      <c r="CV93" s="64">
        <v>8.9078299465596995</v>
      </c>
      <c r="CW93" s="64">
        <v>2.218180870910385</v>
      </c>
      <c r="CX93" s="65">
        <v>3.8279332401093491</v>
      </c>
      <c r="CY93" s="66">
        <v>67.382381054451102</v>
      </c>
      <c r="DA93" s="42">
        <v>37065.343333333301</v>
      </c>
      <c r="DB93" s="40">
        <v>34.521126793652449</v>
      </c>
      <c r="DD93" s="42">
        <v>63680.79644750998</v>
      </c>
      <c r="DE93" s="39">
        <f t="shared" si="55"/>
        <v>54.335150552482915</v>
      </c>
      <c r="DF93" s="55">
        <f t="shared" si="48"/>
        <v>0.80637029594687615</v>
      </c>
      <c r="DH93" s="39"/>
      <c r="DI93" s="42"/>
      <c r="DK93" s="42"/>
      <c r="DL93" s="42"/>
      <c r="DN93" s="41"/>
      <c r="DO93" s="41"/>
      <c r="DQ93" s="39"/>
      <c r="DR93" s="39"/>
      <c r="DT93" s="56"/>
      <c r="DU93" s="56"/>
      <c r="DV93" s="55"/>
      <c r="DX93" s="39"/>
      <c r="DY93" s="39"/>
      <c r="DZ93" s="39"/>
      <c r="EA93" s="39"/>
      <c r="EB93" s="39"/>
      <c r="EC93" s="39"/>
      <c r="ED93" s="39"/>
      <c r="EE93" s="42"/>
      <c r="EF93" s="39"/>
      <c r="EG93" s="39"/>
      <c r="EH93" s="39"/>
      <c r="EI93" s="42"/>
      <c r="EJ93" s="39"/>
      <c r="EK93" s="39"/>
      <c r="EL93" s="39"/>
      <c r="EM93" s="39"/>
      <c r="EN93" s="42"/>
      <c r="EO93" s="39"/>
      <c r="EP93" s="72">
        <f t="shared" si="49"/>
        <v>10318.674370000001</v>
      </c>
    </row>
    <row r="94" spans="1:146" x14ac:dyDescent="0.4">
      <c r="A94" s="26">
        <v>2025</v>
      </c>
      <c r="B94" s="27">
        <v>45778</v>
      </c>
      <c r="C94" s="28">
        <f t="shared" si="35"/>
        <v>31</v>
      </c>
      <c r="D94" s="29">
        <v>1140.1479677419338</v>
      </c>
      <c r="E94" s="29">
        <v>1195.3333</v>
      </c>
      <c r="F94" s="29">
        <v>62.214444444444439</v>
      </c>
      <c r="G94" s="29">
        <v>64.377647058823527</v>
      </c>
      <c r="H94" s="7"/>
      <c r="I94" s="30">
        <v>16.691935483870974</v>
      </c>
      <c r="J94" s="29">
        <v>22.85</v>
      </c>
      <c r="K94" s="29">
        <v>8.85</v>
      </c>
      <c r="L94" s="30">
        <v>14.6</v>
      </c>
      <c r="M94" s="22"/>
      <c r="N94" s="31">
        <v>4887.2946209999991</v>
      </c>
      <c r="O94" s="31">
        <v>3055.9410619999985</v>
      </c>
      <c r="P94" s="32">
        <f t="shared" si="50"/>
        <v>7943.2356829999972</v>
      </c>
      <c r="Q94" s="31">
        <v>1012.3109389999998</v>
      </c>
      <c r="R94" s="31">
        <v>449.87980900000002</v>
      </c>
      <c r="S94" s="31">
        <v>1536.264097999999</v>
      </c>
      <c r="T94" s="31">
        <v>2.8706170000000006</v>
      </c>
      <c r="U94" s="32">
        <f t="shared" si="51"/>
        <v>2998.4548459999987</v>
      </c>
      <c r="V94" s="32">
        <f t="shared" si="38"/>
        <v>10941.690528999996</v>
      </c>
      <c r="W94" s="33">
        <v>29.798415000000002</v>
      </c>
      <c r="X94" s="32">
        <f t="shared" si="39"/>
        <v>10971.488943999995</v>
      </c>
      <c r="Z94" s="32">
        <v>23439</v>
      </c>
      <c r="AB94" s="34">
        <v>5929.6878030000016</v>
      </c>
      <c r="AC94" s="34">
        <v>932.97638100000006</v>
      </c>
      <c r="AD94" s="34">
        <v>4476.2839240000003</v>
      </c>
      <c r="AE94" s="34">
        <v>49.801186000000001</v>
      </c>
      <c r="AF94" s="32">
        <f t="shared" si="36"/>
        <v>11388.749294000003</v>
      </c>
      <c r="AH94" s="31">
        <v>2357.0857999999994</v>
      </c>
      <c r="AI94" s="31">
        <v>82.656651999999994</v>
      </c>
      <c r="AJ94" s="31">
        <v>1592.1861200000001</v>
      </c>
      <c r="AK94" s="31">
        <v>307.49588600000004</v>
      </c>
      <c r="AL94" s="31">
        <v>90.963173999999995</v>
      </c>
      <c r="AM94" s="31">
        <v>45.896291999999995</v>
      </c>
      <c r="AN94" s="32">
        <f t="shared" si="37"/>
        <v>2119.198124</v>
      </c>
      <c r="AO94" s="35">
        <f t="shared" si="40"/>
        <v>0.19368105124004836</v>
      </c>
      <c r="AQ94" s="30">
        <v>38.409967774193532</v>
      </c>
      <c r="AR94" s="36">
        <v>37.057173808812216</v>
      </c>
      <c r="AS94" s="36">
        <v>1.3523235137684211</v>
      </c>
      <c r="AT94" s="30">
        <v>8.4470190000000009</v>
      </c>
      <c r="AU94" s="30">
        <v>42.163586000000002</v>
      </c>
      <c r="AV94" s="30">
        <v>25.914260000000002</v>
      </c>
      <c r="AW94" s="30">
        <f t="shared" si="41"/>
        <v>40.654519840552979</v>
      </c>
      <c r="AX94" s="7"/>
      <c r="AY94" s="36">
        <v>35.894201550747702</v>
      </c>
      <c r="AZ94" s="36">
        <v>1.3523235137684211</v>
      </c>
      <c r="BA94" s="36">
        <v>1.1629722580645161</v>
      </c>
      <c r="BB94" s="36">
        <v>0</v>
      </c>
      <c r="BC94" s="7"/>
      <c r="BD94" s="32">
        <f t="shared" si="42"/>
        <v>1785.3278820385804</v>
      </c>
      <c r="BE94" s="32">
        <f t="shared" si="43"/>
        <v>929.55220043848942</v>
      </c>
      <c r="BF94" s="7"/>
      <c r="BG94" s="30">
        <v>5.3276536732870206</v>
      </c>
      <c r="BH94" s="36">
        <v>4.956046528546743</v>
      </c>
      <c r="BI94" s="36">
        <v>15.510653828969621</v>
      </c>
      <c r="BJ94" s="28">
        <v>663.40287906039293</v>
      </c>
      <c r="BK94" s="28">
        <v>727.16311387982353</v>
      </c>
      <c r="BL94" s="28">
        <v>220.04999856753301</v>
      </c>
      <c r="BM94" s="30">
        <v>5.9325765345958326</v>
      </c>
      <c r="BN94" s="7"/>
      <c r="BO94" s="29">
        <f t="shared" si="45"/>
        <v>234.95130307383579</v>
      </c>
      <c r="BP94" s="29">
        <f t="shared" si="56"/>
        <v>41.966014088056255</v>
      </c>
      <c r="BQ94" s="30">
        <f t="shared" si="57"/>
        <v>276.91731716189202</v>
      </c>
      <c r="BS94" s="31">
        <v>0</v>
      </c>
      <c r="BT94" s="31">
        <v>13.4316</v>
      </c>
      <c r="BU94" s="31">
        <v>0</v>
      </c>
      <c r="BV94" s="31">
        <v>0</v>
      </c>
      <c r="BW94" s="31">
        <v>16.344000000000001</v>
      </c>
      <c r="BX94" s="31">
        <v>2.2839000000000002E-2</v>
      </c>
      <c r="BY94" s="32">
        <f t="shared" si="46"/>
        <v>29.798439000000002</v>
      </c>
      <c r="BZ94" s="31">
        <v>11.365</v>
      </c>
      <c r="CA94" s="31">
        <v>0</v>
      </c>
      <c r="CB94" s="31">
        <v>0</v>
      </c>
      <c r="CC94" s="31">
        <v>10.486992000000001</v>
      </c>
      <c r="CD94" s="31">
        <v>27.937000000000001</v>
      </c>
      <c r="CE94" s="31">
        <v>1.2191E-2</v>
      </c>
      <c r="CF94" s="32">
        <f t="shared" si="53"/>
        <v>49.801183000000009</v>
      </c>
      <c r="CG94" s="7"/>
      <c r="CH94" s="31">
        <v>0</v>
      </c>
      <c r="CI94" s="31"/>
      <c r="CJ94" s="31"/>
      <c r="CK94" s="31">
        <v>88.872980910425838</v>
      </c>
      <c r="CL94" s="31">
        <v>28.911335872849076</v>
      </c>
      <c r="CM94" s="32">
        <f t="shared" si="54"/>
        <v>48.767665514290861</v>
      </c>
      <c r="CN94" s="31">
        <v>89.268167792981771</v>
      </c>
      <c r="CO94" s="31"/>
      <c r="CP94" s="31">
        <v>120</v>
      </c>
      <c r="CQ94" s="31">
        <v>82.343666105881084</v>
      </c>
      <c r="CR94" s="31"/>
      <c r="CS94" s="32">
        <f t="shared" si="47"/>
        <v>91.833295746553603</v>
      </c>
      <c r="CU94" s="61">
        <v>62.649109313308415</v>
      </c>
      <c r="CV94" s="61">
        <v>8.0714715386423901</v>
      </c>
      <c r="CW94" s="61">
        <v>3.0400843829152411</v>
      </c>
      <c r="CX94" s="62">
        <v>3.9808435940467013</v>
      </c>
      <c r="CY94" s="63">
        <v>77.741508828912743</v>
      </c>
      <c r="DA94" s="32">
        <v>77991.504865591298</v>
      </c>
      <c r="DB94" s="30">
        <v>67.512333956376054</v>
      </c>
      <c r="DD94" s="50">
        <v>65121.147527351415</v>
      </c>
      <c r="DE94" s="29">
        <f t="shared" si="55"/>
        <v>54.47948913273931</v>
      </c>
      <c r="DF94" s="51">
        <f t="shared" si="48"/>
        <v>0.70077735759712856</v>
      </c>
      <c r="DH94" s="33"/>
      <c r="DI94" s="32"/>
      <c r="DK94" s="50"/>
      <c r="DL94" s="50"/>
      <c r="DN94" s="31"/>
      <c r="DO94" s="31"/>
      <c r="DQ94" s="29"/>
      <c r="DR94" s="29"/>
      <c r="DT94" s="54"/>
      <c r="DU94" s="54"/>
      <c r="DV94" s="51"/>
      <c r="DX94" s="33"/>
      <c r="DY94" s="33"/>
      <c r="DZ94" s="33"/>
      <c r="EA94" s="33"/>
      <c r="EB94" s="33"/>
      <c r="EC94" s="33"/>
      <c r="ED94" s="33"/>
      <c r="EE94" s="32"/>
      <c r="EF94" s="33"/>
      <c r="EG94" s="33"/>
      <c r="EH94" s="33"/>
      <c r="EI94" s="32"/>
      <c r="EJ94" s="33"/>
      <c r="EK94" s="33"/>
      <c r="EL94" s="33"/>
      <c r="EM94" s="33"/>
      <c r="EN94" s="32"/>
      <c r="EO94" s="32"/>
      <c r="EP94" s="70">
        <f t="shared" si="49"/>
        <v>11388.749294000003</v>
      </c>
    </row>
    <row r="95" spans="1:146" x14ac:dyDescent="0.4">
      <c r="A95" s="22">
        <v>2025</v>
      </c>
      <c r="B95" s="37">
        <v>45809</v>
      </c>
      <c r="C95" s="38">
        <f t="shared" si="35"/>
        <v>30</v>
      </c>
      <c r="D95" s="39">
        <v>1163.7777666666725</v>
      </c>
      <c r="E95" s="39">
        <v>1194.0833</v>
      </c>
      <c r="F95" s="39">
        <v>68.169000000000011</v>
      </c>
      <c r="G95" s="39">
        <v>71.444761904761918</v>
      </c>
      <c r="H95" s="7"/>
      <c r="I95" s="40">
        <v>11.151666666666669</v>
      </c>
      <c r="J95" s="39">
        <v>14.9</v>
      </c>
      <c r="K95" s="39">
        <v>4.3</v>
      </c>
      <c r="L95" s="40">
        <v>11.7</v>
      </c>
      <c r="M95" s="22"/>
      <c r="N95" s="41">
        <v>6598.7541850000034</v>
      </c>
      <c r="O95" s="41">
        <v>3158.1438230000017</v>
      </c>
      <c r="P95" s="42">
        <f t="shared" si="50"/>
        <v>9756.8980080000056</v>
      </c>
      <c r="Q95" s="41">
        <v>995.68401499999993</v>
      </c>
      <c r="R95" s="41">
        <v>441.50883899999997</v>
      </c>
      <c r="S95" s="41">
        <v>1487.7162329999999</v>
      </c>
      <c r="T95" s="41">
        <v>3.3366449999999999</v>
      </c>
      <c r="U95" s="42">
        <f t="shared" si="51"/>
        <v>2924.909087</v>
      </c>
      <c r="V95" s="42">
        <f t="shared" si="38"/>
        <v>12681.807095000006</v>
      </c>
      <c r="W95" s="39">
        <v>5.8656040000000003</v>
      </c>
      <c r="X95" s="42">
        <f t="shared" si="39"/>
        <v>12687.672699000006</v>
      </c>
      <c r="Z95" s="42">
        <v>27719</v>
      </c>
      <c r="AB95" s="41">
        <v>6284.2138650000006</v>
      </c>
      <c r="AC95" s="41">
        <v>837.19946200000004</v>
      </c>
      <c r="AD95" s="41">
        <v>5351.0839560000004</v>
      </c>
      <c r="AE95" s="41">
        <v>760.30634199999997</v>
      </c>
      <c r="AF95" s="42">
        <f t="shared" si="36"/>
        <v>13232.803625</v>
      </c>
      <c r="AH95" s="41">
        <v>3290.5723520000001</v>
      </c>
      <c r="AI95" s="41">
        <v>73.083898000000019</v>
      </c>
      <c r="AJ95" s="41">
        <v>1559.7739490000004</v>
      </c>
      <c r="AK95" s="41">
        <v>283.35104099999995</v>
      </c>
      <c r="AL95" s="41">
        <v>100.969987</v>
      </c>
      <c r="AM95" s="41">
        <v>43.332729</v>
      </c>
      <c r="AN95" s="42">
        <f t="shared" si="37"/>
        <v>2060.5116040000003</v>
      </c>
      <c r="AO95" s="43">
        <f t="shared" si="40"/>
        <v>0.16247775956254595</v>
      </c>
      <c r="AQ95" s="40">
        <v>36.980492133333343</v>
      </c>
      <c r="AR95" s="44">
        <v>26.98875073757852</v>
      </c>
      <c r="AS95" s="44">
        <v>9.9917446624214215</v>
      </c>
      <c r="AT95" s="40">
        <v>38.66008200000001</v>
      </c>
      <c r="AU95" s="40">
        <v>161.02506699999995</v>
      </c>
      <c r="AV95" s="40">
        <v>78.272983999999994</v>
      </c>
      <c r="AW95" s="40">
        <f t="shared" si="41"/>
        <v>45.643738133571439</v>
      </c>
      <c r="AX95" s="7"/>
      <c r="AY95" s="44">
        <v>25.347436070911854</v>
      </c>
      <c r="AZ95" s="44">
        <v>8.8547736624214224</v>
      </c>
      <c r="BA95" s="44">
        <v>1.6413146666666671</v>
      </c>
      <c r="BB95" s="44">
        <v>1.136971</v>
      </c>
      <c r="BC95" s="7"/>
      <c r="BD95" s="38">
        <f t="shared" si="42"/>
        <v>1830.3358632846275</v>
      </c>
      <c r="BE95" s="38">
        <f t="shared" si="43"/>
        <v>869.22033573667591</v>
      </c>
      <c r="BF95" s="7"/>
      <c r="BG95" s="40">
        <v>8.0904516706033345</v>
      </c>
      <c r="BH95" s="44">
        <v>5.7899123918442639</v>
      </c>
      <c r="BI95" s="44">
        <v>14.30444965135146</v>
      </c>
      <c r="BJ95" s="38">
        <v>702.95951032920129</v>
      </c>
      <c r="BK95" s="38">
        <v>757.21799375162345</v>
      </c>
      <c r="BL95" s="38">
        <v>220.04999856753301</v>
      </c>
      <c r="BM95" s="40">
        <v>9.8345856665405034</v>
      </c>
      <c r="BN95" s="7"/>
      <c r="BO95" s="39">
        <f t="shared" si="45"/>
        <v>332.43209373317802</v>
      </c>
      <c r="BP95" s="39">
        <f t="shared" si="56"/>
        <v>166.331520506544</v>
      </c>
      <c r="BQ95" s="40">
        <f t="shared" si="57"/>
        <v>498.76361423972202</v>
      </c>
      <c r="BS95" s="41">
        <v>0</v>
      </c>
      <c r="BT95" s="41">
        <v>0</v>
      </c>
      <c r="BU95" s="41">
        <v>0</v>
      </c>
      <c r="BV95" s="41">
        <v>0</v>
      </c>
      <c r="BW95" s="41">
        <v>5.8310000000000004</v>
      </c>
      <c r="BX95" s="41">
        <v>3.4603999999999996E-2</v>
      </c>
      <c r="BY95" s="42">
        <f t="shared" si="46"/>
        <v>5.8656040000000003</v>
      </c>
      <c r="BZ95" s="41">
        <v>593.56939999999997</v>
      </c>
      <c r="CA95" s="41">
        <v>2.4121999999999999</v>
      </c>
      <c r="CB95" s="41">
        <v>0</v>
      </c>
      <c r="CC95" s="41">
        <v>11.130462</v>
      </c>
      <c r="CD95" s="41">
        <v>138.04</v>
      </c>
      <c r="CE95" s="41">
        <v>15.154323</v>
      </c>
      <c r="CF95" s="42">
        <f t="shared" si="53"/>
        <v>760.30638499999986</v>
      </c>
      <c r="CG95" s="7"/>
      <c r="CH95" s="41"/>
      <c r="CI95" s="41"/>
      <c r="CJ95" s="41"/>
      <c r="CK95" s="41">
        <v>190</v>
      </c>
      <c r="CL95" s="41">
        <v>85.779302970754841</v>
      </c>
      <c r="CM95" s="42">
        <f t="shared" si="54"/>
        <v>189.38515232190923</v>
      </c>
      <c r="CN95" s="41">
        <v>108.88494313031138</v>
      </c>
      <c r="CO95" s="41"/>
      <c r="CP95" s="41">
        <v>120</v>
      </c>
      <c r="CQ95" s="41">
        <v>95.663631186612591</v>
      </c>
      <c r="CR95" s="41">
        <v>96.519431781941037</v>
      </c>
      <c r="CS95" s="42">
        <f t="shared" si="47"/>
        <v>106.055297821671</v>
      </c>
      <c r="CU95" s="64">
        <v>78.237716357206665</v>
      </c>
      <c r="CV95" s="64">
        <v>8.2779716821311791</v>
      </c>
      <c r="CW95" s="64">
        <v>3.9979744818686123</v>
      </c>
      <c r="CX95" s="65">
        <v>4.1730840721078666</v>
      </c>
      <c r="CY95" s="66">
        <v>94.686746593314325</v>
      </c>
      <c r="DA95" s="42">
        <v>143535.46231944449</v>
      </c>
      <c r="DB95" s="40">
        <v>123.189683040708</v>
      </c>
      <c r="DD95" s="42">
        <v>64466.773190004089</v>
      </c>
      <c r="DE95" s="39">
        <f t="shared" si="55"/>
        <v>53.988505818651085</v>
      </c>
      <c r="DF95" s="55">
        <f t="shared" si="48"/>
        <v>0.57018017580153213</v>
      </c>
      <c r="DH95" s="39"/>
      <c r="DI95" s="42"/>
      <c r="DK95" s="42"/>
      <c r="DL95" s="42"/>
      <c r="DN95" s="41"/>
      <c r="DO95" s="41"/>
      <c r="DQ95" s="39"/>
      <c r="DR95" s="39"/>
      <c r="DT95" s="56"/>
      <c r="DU95" s="56"/>
      <c r="DV95" s="55"/>
      <c r="DX95" s="39"/>
      <c r="DY95" s="39"/>
      <c r="DZ95" s="39"/>
      <c r="EA95" s="39"/>
      <c r="EB95" s="39"/>
      <c r="EC95" s="39"/>
      <c r="ED95" s="39"/>
      <c r="EE95" s="42"/>
      <c r="EF95" s="39"/>
      <c r="EG95" s="39"/>
      <c r="EH95" s="39"/>
      <c r="EI95" s="42"/>
      <c r="EJ95" s="39"/>
      <c r="EK95" s="39"/>
      <c r="EL95" s="39"/>
      <c r="EM95" s="39"/>
      <c r="EN95" s="42"/>
      <c r="EO95" s="39"/>
      <c r="EP95" s="72">
        <f t="shared" si="49"/>
        <v>13232.803625</v>
      </c>
    </row>
    <row r="96" spans="1:146" x14ac:dyDescent="0.4">
      <c r="A96" s="26">
        <v>2025</v>
      </c>
      <c r="B96" s="27">
        <v>45839</v>
      </c>
      <c r="C96" s="28">
        <f t="shared" si="35"/>
        <v>31</v>
      </c>
      <c r="D96" s="29">
        <v>1219.9301612903316</v>
      </c>
      <c r="E96" s="29">
        <v>1351.8330000000001</v>
      </c>
      <c r="F96" s="29">
        <v>68.390909090909091</v>
      </c>
      <c r="G96" s="29">
        <v>71.041304347826113</v>
      </c>
      <c r="H96" s="7"/>
      <c r="I96" s="30">
        <v>12.262903225806451</v>
      </c>
      <c r="J96" s="29">
        <v>16.8</v>
      </c>
      <c r="K96" s="29">
        <v>4.3499999999999996</v>
      </c>
      <c r="L96" s="30">
        <v>11.1</v>
      </c>
      <c r="M96" s="22"/>
      <c r="N96" s="31">
        <v>6564.0705580000067</v>
      </c>
      <c r="O96" s="31">
        <v>3254.0238670000022</v>
      </c>
      <c r="P96" s="32">
        <f t="shared" si="50"/>
        <v>9818.0944250000084</v>
      </c>
      <c r="Q96" s="31">
        <v>1037.3692169999999</v>
      </c>
      <c r="R96" s="31">
        <v>440.77662500000002</v>
      </c>
      <c r="S96" s="31">
        <v>1602.8022360000002</v>
      </c>
      <c r="T96" s="31">
        <v>2.576047</v>
      </c>
      <c r="U96" s="32">
        <f t="shared" si="51"/>
        <v>3080.9480780000004</v>
      </c>
      <c r="V96" s="32">
        <f t="shared" si="38"/>
        <v>12899.042503000008</v>
      </c>
      <c r="W96" s="33">
        <v>2.8625000000000001E-2</v>
      </c>
      <c r="X96" s="32">
        <f t="shared" si="39"/>
        <v>12899.071128000009</v>
      </c>
      <c r="Z96" s="32">
        <v>28119</v>
      </c>
      <c r="AB96" s="34">
        <v>6505.3835099999942</v>
      </c>
      <c r="AC96" s="34">
        <v>891.98824500000001</v>
      </c>
      <c r="AD96" s="34">
        <v>4711.0548010000002</v>
      </c>
      <c r="AE96" s="34">
        <v>1327.5155099999999</v>
      </c>
      <c r="AF96" s="32">
        <f t="shared" si="36"/>
        <v>13435.942065999994</v>
      </c>
      <c r="AH96" s="31">
        <v>2635.5588399999997</v>
      </c>
      <c r="AI96" s="31">
        <v>79.585965999999999</v>
      </c>
      <c r="AJ96" s="31">
        <v>1525.9328660000003</v>
      </c>
      <c r="AK96" s="31">
        <v>321.67796600000003</v>
      </c>
      <c r="AL96" s="31">
        <v>103.43778599999999</v>
      </c>
      <c r="AM96" s="31">
        <v>44.861377000000005</v>
      </c>
      <c r="AN96" s="32">
        <f t="shared" si="37"/>
        <v>2075.4959610000005</v>
      </c>
      <c r="AO96" s="35">
        <f t="shared" si="40"/>
        <v>0.16090310273163996</v>
      </c>
      <c r="AQ96" s="30">
        <v>37.231859806451581</v>
      </c>
      <c r="AR96" s="36">
        <v>29.046008282765623</v>
      </c>
      <c r="AS96" s="36">
        <v>8.172608072073027</v>
      </c>
      <c r="AT96" s="30">
        <v>32.599527000000009</v>
      </c>
      <c r="AU96" s="30">
        <v>158.28988000000007</v>
      </c>
      <c r="AV96" s="30">
        <v>66.891038999999992</v>
      </c>
      <c r="AW96" s="30">
        <f t="shared" si="41"/>
        <v>45.061407216589835</v>
      </c>
      <c r="AX96" s="7"/>
      <c r="AY96" s="36">
        <v>24.90917925050756</v>
      </c>
      <c r="AZ96" s="36">
        <v>6.6943445236859302</v>
      </c>
      <c r="BA96" s="36">
        <v>4.1368290322580643</v>
      </c>
      <c r="BB96" s="36">
        <v>1.4782635483870967</v>
      </c>
      <c r="BC96" s="7"/>
      <c r="BD96" s="32">
        <f t="shared" si="42"/>
        <v>1803.7353864169036</v>
      </c>
      <c r="BE96" s="32">
        <f t="shared" si="43"/>
        <v>873.32844854200164</v>
      </c>
      <c r="BF96" s="7"/>
      <c r="BG96" s="30">
        <v>7.8761703062213266</v>
      </c>
      <c r="BH96" s="36">
        <v>5.7152995897720187</v>
      </c>
      <c r="BI96" s="36">
        <v>15.556052685806923</v>
      </c>
      <c r="BJ96" s="28">
        <v>691.21975418644945</v>
      </c>
      <c r="BK96" s="28">
        <v>746.701644204942</v>
      </c>
      <c r="BL96" s="28">
        <v>220.04999856753301</v>
      </c>
      <c r="BM96" s="30">
        <v>9.5122366664730489</v>
      </c>
      <c r="BN96" s="7"/>
      <c r="BO96" s="29">
        <f t="shared" si="45"/>
        <v>336.6880936385943</v>
      </c>
      <c r="BP96" s="29">
        <f t="shared" si="56"/>
        <v>155.44812373266834</v>
      </c>
      <c r="BQ96" s="30">
        <f t="shared" si="57"/>
        <v>492.13621737126266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2.8625000000000001E-2</v>
      </c>
      <c r="BY96" s="32">
        <f t="shared" si="46"/>
        <v>2.8625000000000001E-2</v>
      </c>
      <c r="BZ96" s="31">
        <v>1128.8841</v>
      </c>
      <c r="CA96" s="31">
        <v>4.4933999999999994</v>
      </c>
      <c r="CB96" s="31">
        <v>0</v>
      </c>
      <c r="CC96" s="31">
        <v>11.14608</v>
      </c>
      <c r="CD96" s="31">
        <v>161.68799999999999</v>
      </c>
      <c r="CE96" s="31">
        <v>21.303952000000002</v>
      </c>
      <c r="CF96" s="32">
        <f t="shared" si="53"/>
        <v>1327.5155320000001</v>
      </c>
      <c r="CG96" s="7"/>
      <c r="CH96" s="31"/>
      <c r="CI96" s="31"/>
      <c r="CJ96" s="31"/>
      <c r="CK96" s="31"/>
      <c r="CL96" s="31">
        <v>97.224349344978151</v>
      </c>
      <c r="CM96" s="32">
        <f t="shared" si="54"/>
        <v>97.224349344978151</v>
      </c>
      <c r="CN96" s="31">
        <v>104.26</v>
      </c>
      <c r="CO96" s="31"/>
      <c r="CP96" s="31">
        <v>120</v>
      </c>
      <c r="CQ96" s="31">
        <v>121.64145587180251</v>
      </c>
      <c r="CR96" s="31">
        <v>109.56064395939308</v>
      </c>
      <c r="CS96" s="32">
        <f t="shared" si="47"/>
        <v>106.24133645390749</v>
      </c>
      <c r="CU96" s="61">
        <v>81.282601355647145</v>
      </c>
      <c r="CV96" s="61">
        <v>7.7828400401528892</v>
      </c>
      <c r="CW96" s="61">
        <v>3.9304854963593878</v>
      </c>
      <c r="CX96" s="62">
        <v>3.8452012933550219</v>
      </c>
      <c r="CY96" s="63">
        <v>96.841128185514435</v>
      </c>
      <c r="DA96" s="32">
        <v>150817.23662634383</v>
      </c>
      <c r="DB96" s="30">
        <v>123.88366127898746</v>
      </c>
      <c r="DD96" s="50">
        <v>67708.990583378385</v>
      </c>
      <c r="DE96" s="29">
        <f t="shared" si="55"/>
        <v>50.08680109405406</v>
      </c>
      <c r="DF96" s="51">
        <f t="shared" si="48"/>
        <v>0.51720588176239446</v>
      </c>
      <c r="DH96" s="33"/>
      <c r="DI96" s="32"/>
      <c r="DK96" s="50"/>
      <c r="DL96" s="50"/>
      <c r="DN96" s="31"/>
      <c r="DO96" s="31"/>
      <c r="DQ96" s="29"/>
      <c r="DR96" s="29"/>
      <c r="DT96" s="54"/>
      <c r="DU96" s="54"/>
      <c r="DV96" s="51"/>
      <c r="DX96" s="33"/>
      <c r="DY96" s="33"/>
      <c r="DZ96" s="33"/>
      <c r="EA96" s="33"/>
      <c r="EB96" s="33"/>
      <c r="EC96" s="33"/>
      <c r="ED96" s="33"/>
      <c r="EE96" s="32"/>
      <c r="EF96" s="33"/>
      <c r="EG96" s="33"/>
      <c r="EH96" s="33"/>
      <c r="EI96" s="32"/>
      <c r="EJ96" s="33"/>
      <c r="EK96" s="33"/>
      <c r="EL96" s="33"/>
      <c r="EM96" s="33"/>
      <c r="EN96" s="32"/>
      <c r="EO96" s="32"/>
      <c r="EP96" s="70">
        <f t="shared" si="49"/>
        <v>13435.942065999994</v>
      </c>
    </row>
    <row r="97" spans="1:146" x14ac:dyDescent="0.4">
      <c r="A97" s="22">
        <v>2025</v>
      </c>
      <c r="B97" s="37">
        <v>45870</v>
      </c>
      <c r="C97" s="38">
        <f t="shared" si="35"/>
        <v>31</v>
      </c>
      <c r="D97" s="39">
        <v>1303.9810645161265</v>
      </c>
      <c r="E97" s="39">
        <v>1323.8333</v>
      </c>
      <c r="F97" s="39">
        <v>64.864285714285714</v>
      </c>
      <c r="G97" s="39">
        <v>67.87</v>
      </c>
      <c r="H97" s="7"/>
      <c r="I97" s="40">
        <v>13.898387096774195</v>
      </c>
      <c r="J97" s="39">
        <v>19.350000000000001</v>
      </c>
      <c r="K97" s="39">
        <v>8.1499999999999986</v>
      </c>
      <c r="L97" s="40">
        <v>12.6</v>
      </c>
      <c r="M97" s="22"/>
      <c r="N97" s="41">
        <v>5598.1297689999992</v>
      </c>
      <c r="O97" s="41">
        <v>3118.6498280000014</v>
      </c>
      <c r="P97" s="42">
        <f t="shared" si="50"/>
        <v>8716.7795970000006</v>
      </c>
      <c r="Q97" s="41">
        <v>999.28931499999999</v>
      </c>
      <c r="R97" s="41">
        <v>464.38000699999992</v>
      </c>
      <c r="S97" s="41">
        <v>1534.1407490000008</v>
      </c>
      <c r="T97" s="41">
        <v>4.166671</v>
      </c>
      <c r="U97" s="42">
        <f t="shared" si="51"/>
        <v>2997.8100710000008</v>
      </c>
      <c r="V97" s="42">
        <f t="shared" si="38"/>
        <v>11714.589668000001</v>
      </c>
      <c r="W97" s="39">
        <v>4.1199999999999999E-4</v>
      </c>
      <c r="X97" s="42">
        <f t="shared" si="39"/>
        <v>11714.59008</v>
      </c>
      <c r="Z97" s="42">
        <v>23083</v>
      </c>
      <c r="AB97" s="41">
        <v>6114.8132550000028</v>
      </c>
      <c r="AC97" s="41">
        <v>943.11881000000005</v>
      </c>
      <c r="AD97" s="41">
        <v>4506.4163599999993</v>
      </c>
      <c r="AE97" s="41">
        <v>590.68787299999997</v>
      </c>
      <c r="AF97" s="42">
        <f t="shared" si="36"/>
        <v>12155.036298000003</v>
      </c>
      <c r="AH97" s="41">
        <v>2365.8340700000003</v>
      </c>
      <c r="AI97" s="41">
        <v>83.031231999999989</v>
      </c>
      <c r="AJ97" s="41">
        <v>1520.9742679999999</v>
      </c>
      <c r="AK97" s="41">
        <v>389.84267900000009</v>
      </c>
      <c r="AL97" s="41">
        <v>100.95857099999999</v>
      </c>
      <c r="AM97" s="41">
        <v>45.775540000000021</v>
      </c>
      <c r="AN97" s="42">
        <f t="shared" si="37"/>
        <v>2140.5822900000003</v>
      </c>
      <c r="AO97" s="43">
        <f t="shared" si="40"/>
        <v>0.18272789322252514</v>
      </c>
      <c r="AQ97" s="40">
        <v>40.915543096774194</v>
      </c>
      <c r="AR97" s="44">
        <v>32.305593249250371</v>
      </c>
      <c r="AS97" s="44">
        <v>8.6099498475238505</v>
      </c>
      <c r="AT97" s="40">
        <v>0.70626400000000011</v>
      </c>
      <c r="AU97" s="40">
        <v>2.8074090000000007</v>
      </c>
      <c r="AV97" s="40">
        <v>9.9644880000000011</v>
      </c>
      <c r="AW97" s="40">
        <f t="shared" si="41"/>
        <v>41.241261958602152</v>
      </c>
      <c r="AX97" s="7"/>
      <c r="AY97" s="44">
        <v>29.289370023443919</v>
      </c>
      <c r="AZ97" s="44">
        <v>5.5538804926851411</v>
      </c>
      <c r="BA97" s="44">
        <v>3.0162232258064519</v>
      </c>
      <c r="BB97" s="44">
        <v>3.0560693548387095</v>
      </c>
      <c r="BC97" s="7"/>
      <c r="BD97" s="38">
        <f t="shared" si="42"/>
        <v>1756.2637101368023</v>
      </c>
      <c r="BE97" s="38">
        <f t="shared" si="43"/>
        <v>883.52057128673812</v>
      </c>
      <c r="BF97" s="7"/>
      <c r="BG97" s="40">
        <v>7.181461880279751</v>
      </c>
      <c r="BH97" s="44">
        <v>5.1782597783263844</v>
      </c>
      <c r="BI97" s="44">
        <v>14.692930359117508</v>
      </c>
      <c r="BJ97" s="38">
        <v>717.67341808066271</v>
      </c>
      <c r="BK97" s="38">
        <v>781.65950847669853</v>
      </c>
      <c r="BL97" s="38">
        <v>220.04999856753301</v>
      </c>
      <c r="BM97" s="40">
        <v>7.2280989154613504</v>
      </c>
      <c r="BN97" s="7"/>
      <c r="BO97" s="39">
        <f t="shared" si="45"/>
        <v>337.36428906937937</v>
      </c>
      <c r="BP97" s="39">
        <f t="shared" si="56"/>
        <v>4.8939904081065819</v>
      </c>
      <c r="BQ97" s="40">
        <f t="shared" si="57"/>
        <v>342.25827947748593</v>
      </c>
      <c r="BS97" s="41">
        <v>0</v>
      </c>
      <c r="BT97" s="41">
        <v>0</v>
      </c>
      <c r="BU97" s="41">
        <v>0</v>
      </c>
      <c r="BV97" s="41">
        <v>0</v>
      </c>
      <c r="BW97" s="41">
        <v>0</v>
      </c>
      <c r="BX97" s="41">
        <v>4.1200000000000004E-4</v>
      </c>
      <c r="BY97" s="42">
        <f t="shared" si="46"/>
        <v>4.1200000000000004E-4</v>
      </c>
      <c r="BZ97" s="41">
        <v>336.33550000000002</v>
      </c>
      <c r="CA97" s="41">
        <v>0</v>
      </c>
      <c r="CB97" s="41">
        <v>0.849379</v>
      </c>
      <c r="CC97" s="41">
        <v>8.3923799999999993</v>
      </c>
      <c r="CD97" s="41">
        <v>245.08799999999999</v>
      </c>
      <c r="CE97" s="41">
        <v>2.2655000000000002E-2</v>
      </c>
      <c r="CF97" s="42">
        <f t="shared" si="53"/>
        <v>590.68791399999998</v>
      </c>
      <c r="CG97" s="7"/>
      <c r="CH97" s="41"/>
      <c r="CI97" s="41"/>
      <c r="CJ97" s="41"/>
      <c r="CK97" s="41"/>
      <c r="CL97" s="41"/>
      <c r="CM97" s="42">
        <f t="shared" si="54"/>
        <v>0</v>
      </c>
      <c r="CN97" s="41">
        <v>104.64119914130072</v>
      </c>
      <c r="CO97" s="41">
        <v>24.434934228418644</v>
      </c>
      <c r="CP97" s="41">
        <v>120</v>
      </c>
      <c r="CQ97" s="41">
        <v>58.302450160758582</v>
      </c>
      <c r="CR97" s="41"/>
      <c r="CS97" s="42">
        <f t="shared" si="47"/>
        <v>85.513212411501883</v>
      </c>
      <c r="CU97" s="64">
        <v>74.27408336946057</v>
      </c>
      <c r="CV97" s="64">
        <v>9.1537658102421204</v>
      </c>
      <c r="CW97" s="64">
        <v>3.72121625887489</v>
      </c>
      <c r="CX97" s="65">
        <v>4.3278183136804316</v>
      </c>
      <c r="CY97" s="66">
        <v>91.476883752258004</v>
      </c>
      <c r="DA97" s="42">
        <v>101427.66483870959</v>
      </c>
      <c r="DB97" s="40">
        <v>77.971897664977746</v>
      </c>
      <c r="DD97" s="42">
        <v>68819.284117705756</v>
      </c>
      <c r="DE97" s="39">
        <f t="shared" si="55"/>
        <v>51.98485649039479</v>
      </c>
      <c r="DF97" s="55">
        <f t="shared" si="48"/>
        <v>0.56828407744171328</v>
      </c>
      <c r="DH97" s="39"/>
      <c r="DI97" s="42"/>
      <c r="DK97" s="42"/>
      <c r="DL97" s="42"/>
      <c r="DN97" s="41"/>
      <c r="DO97" s="41"/>
      <c r="DQ97" s="39"/>
      <c r="DR97" s="39"/>
      <c r="DT97" s="56"/>
      <c r="DU97" s="56"/>
      <c r="DV97" s="55"/>
      <c r="DX97" s="39"/>
      <c r="DY97" s="39"/>
      <c r="DZ97" s="39"/>
      <c r="EA97" s="39"/>
      <c r="EB97" s="39"/>
      <c r="EC97" s="39"/>
      <c r="ED97" s="39"/>
      <c r="EE97" s="42"/>
      <c r="EF97" s="39"/>
      <c r="EG97" s="39"/>
      <c r="EH97" s="39"/>
      <c r="EI97" s="42"/>
      <c r="EJ97" s="39"/>
      <c r="EK97" s="39"/>
      <c r="EL97" s="39"/>
      <c r="EM97" s="39"/>
      <c r="EN97" s="42"/>
      <c r="EO97" s="39"/>
      <c r="EP97" s="72">
        <f t="shared" si="49"/>
        <v>12155.036298000003</v>
      </c>
    </row>
    <row r="98" spans="1:146" x14ac:dyDescent="0.4">
      <c r="A98" s="26">
        <v>2025</v>
      </c>
      <c r="B98" s="27">
        <v>45901</v>
      </c>
      <c r="C98" s="28">
        <f t="shared" si="35"/>
        <v>30</v>
      </c>
      <c r="D98" s="29">
        <v>1386.0003333333432</v>
      </c>
      <c r="E98" s="29">
        <v>1366.58</v>
      </c>
      <c r="F98" s="29">
        <v>63.959047619047624</v>
      </c>
      <c r="G98" s="29">
        <v>67.985454545454559</v>
      </c>
      <c r="H98" s="7"/>
      <c r="I98" s="30">
        <v>15.68166666666667</v>
      </c>
      <c r="J98" s="29">
        <v>20.5</v>
      </c>
      <c r="K98" s="29">
        <v>9.1999999999999993</v>
      </c>
      <c r="L98" s="30">
        <v>14.6</v>
      </c>
      <c r="M98" s="22"/>
      <c r="N98" s="31">
        <v>4674.1021660000006</v>
      </c>
      <c r="O98" s="31">
        <v>2951.2297059999987</v>
      </c>
      <c r="P98" s="32">
        <f t="shared" si="50"/>
        <v>7625.3318719999988</v>
      </c>
      <c r="Q98" s="31">
        <v>965.14433100000008</v>
      </c>
      <c r="R98" s="31">
        <v>451.34694500000012</v>
      </c>
      <c r="S98" s="31">
        <v>1583.5093569999999</v>
      </c>
      <c r="T98" s="31">
        <v>6.2080250000000001</v>
      </c>
      <c r="U98" s="32">
        <f t="shared" si="51"/>
        <v>3000.0006330000001</v>
      </c>
      <c r="V98" s="32">
        <f t="shared" si="38"/>
        <v>10625.332504999998</v>
      </c>
      <c r="W98" s="33">
        <v>3.4097269999999997</v>
      </c>
      <c r="X98" s="32">
        <f t="shared" si="39"/>
        <v>10628.742231999999</v>
      </c>
      <c r="Z98" s="32">
        <v>22292</v>
      </c>
      <c r="AB98" s="34">
        <v>4703.9165550000025</v>
      </c>
      <c r="AC98" s="34">
        <v>912.50915299999997</v>
      </c>
      <c r="AD98" s="34">
        <v>5043.7359850000003</v>
      </c>
      <c r="AE98" s="34">
        <v>363.854489</v>
      </c>
      <c r="AF98" s="32">
        <f t="shared" si="36"/>
        <v>11024.016182000001</v>
      </c>
      <c r="AH98" s="31">
        <v>2661.7815109999997</v>
      </c>
      <c r="AI98" s="31">
        <v>131.18882100000002</v>
      </c>
      <c r="AJ98" s="31">
        <v>1623.3614799999998</v>
      </c>
      <c r="AK98" s="31">
        <v>487.54718600000012</v>
      </c>
      <c r="AL98" s="31">
        <v>95.491953999999993</v>
      </c>
      <c r="AM98" s="31">
        <v>44.365033000000004</v>
      </c>
      <c r="AN98" s="32">
        <f t="shared" si="37"/>
        <v>2381.9544740000001</v>
      </c>
      <c r="AO98" s="35">
        <f t="shared" si="40"/>
        <v>0.22417693496924598</v>
      </c>
      <c r="AQ98" s="30">
        <v>32.58705980000002</v>
      </c>
      <c r="AR98" s="36">
        <v>31.343219207378674</v>
      </c>
      <c r="AS98" s="36">
        <v>0.93553112595463106</v>
      </c>
      <c r="AT98" s="30">
        <v>1.0689740000000001</v>
      </c>
      <c r="AU98" s="30">
        <v>10.233964000000006</v>
      </c>
      <c r="AV98" s="30">
        <v>0</v>
      </c>
      <c r="AW98" s="30">
        <f t="shared" si="41"/>
        <v>32.977073118730182</v>
      </c>
      <c r="AX98" s="7"/>
      <c r="AY98" s="36">
        <v>30.673422207378675</v>
      </c>
      <c r="AZ98" s="36">
        <v>6.6018792621297728E-2</v>
      </c>
      <c r="BA98" s="36">
        <v>0.66979700000000009</v>
      </c>
      <c r="BB98" s="36">
        <v>0.86951233333333333</v>
      </c>
      <c r="BC98" s="7"/>
      <c r="BD98" s="32">
        <f t="shared" si="42"/>
        <v>1766.6602561405346</v>
      </c>
      <c r="BE98" s="38">
        <f t="shared" si="43"/>
        <v>753.82893935596053</v>
      </c>
      <c r="BF98" s="7"/>
      <c r="BG98" s="30">
        <v>5.1276212823853236</v>
      </c>
      <c r="BH98" s="36">
        <v>4.8763539592434393</v>
      </c>
      <c r="BI98" s="36">
        <v>13.545862611182505</v>
      </c>
      <c r="BJ98" s="28">
        <v>749.51312064587557</v>
      </c>
      <c r="BK98" s="28">
        <v>841.61035331454775</v>
      </c>
      <c r="BL98" s="28">
        <v>220.04999856753301</v>
      </c>
      <c r="BM98" s="30">
        <v>5.32390788034962</v>
      </c>
      <c r="BN98" s="7"/>
      <c r="BO98" s="29">
        <f t="shared" si="45"/>
        <v>185.66011262315928</v>
      </c>
      <c r="BP98" s="29">
        <f t="shared" si="56"/>
        <v>9.4142200964776706</v>
      </c>
      <c r="BQ98" s="30">
        <f t="shared" si="57"/>
        <v>195.07433271963694</v>
      </c>
      <c r="BS98" s="31">
        <v>1.5782</v>
      </c>
      <c r="BT98" s="31">
        <v>1.8029999999999999</v>
      </c>
      <c r="BU98" s="31">
        <v>1.9999999999999999E-6</v>
      </c>
      <c r="BV98" s="31">
        <v>0</v>
      </c>
      <c r="BW98" s="31">
        <v>0</v>
      </c>
      <c r="BX98" s="31">
        <v>2.6998000000000001E-2</v>
      </c>
      <c r="BY98" s="32">
        <f t="shared" si="46"/>
        <v>3.4081999999999999</v>
      </c>
      <c r="BZ98" s="31">
        <v>35.620899999999999</v>
      </c>
      <c r="CA98" s="31">
        <v>0</v>
      </c>
      <c r="CB98" s="31">
        <v>2.557661</v>
      </c>
      <c r="CC98" s="31">
        <v>9.3025260000000003</v>
      </c>
      <c r="CD98" s="31">
        <v>301.60000000000002</v>
      </c>
      <c r="CE98" s="31">
        <v>14.739433000000002</v>
      </c>
      <c r="CF98" s="32">
        <f t="shared" si="53"/>
        <v>363.82052000000004</v>
      </c>
      <c r="CG98" s="7"/>
      <c r="CH98" s="31">
        <v>80.619231887850631</v>
      </c>
      <c r="CI98" s="31"/>
      <c r="CJ98" s="31"/>
      <c r="CK98" s="31"/>
      <c r="CL98" s="31"/>
      <c r="CM98" s="32">
        <f t="shared" si="54"/>
        <v>37.331515687285332</v>
      </c>
      <c r="CN98" s="31">
        <v>91.27756731695149</v>
      </c>
      <c r="CO98" s="31">
        <v>23.148212370599541</v>
      </c>
      <c r="CP98" s="31">
        <v>120</v>
      </c>
      <c r="CQ98" s="31">
        <v>35</v>
      </c>
      <c r="CR98" s="31">
        <v>53.484026217290719</v>
      </c>
      <c r="CS98" s="32">
        <f t="shared" si="47"/>
        <v>43.348906539522275</v>
      </c>
      <c r="CU98" s="61">
        <v>61.7245919290554</v>
      </c>
      <c r="CV98" s="61">
        <v>7.8361822944869681</v>
      </c>
      <c r="CW98" s="61">
        <v>2.8500490274993049</v>
      </c>
      <c r="CX98" s="62">
        <v>4.5536155951353017</v>
      </c>
      <c r="CY98" s="63">
        <v>76.964438846176975</v>
      </c>
      <c r="DA98" s="32">
        <v>67880.720555555643</v>
      </c>
      <c r="DB98" s="30">
        <v>49.150394882213668</v>
      </c>
      <c r="DD98" s="50">
        <v>70358.83570368198</v>
      </c>
      <c r="DE98" s="29">
        <f t="shared" si="55"/>
        <v>51.485339829122324</v>
      </c>
      <c r="DF98" s="51">
        <f t="shared" si="48"/>
        <v>0.66894972016910559</v>
      </c>
      <c r="DH98" s="33"/>
      <c r="DI98" s="32"/>
      <c r="DK98" s="50"/>
      <c r="DL98" s="50"/>
      <c r="DN98" s="31"/>
      <c r="DO98" s="31"/>
      <c r="DQ98" s="29"/>
      <c r="DR98" s="29"/>
      <c r="DT98" s="54"/>
      <c r="DU98" s="54"/>
      <c r="DV98" s="51"/>
      <c r="DX98" s="33"/>
      <c r="DY98" s="33"/>
      <c r="DZ98" s="33"/>
      <c r="EA98" s="33"/>
      <c r="EB98" s="33"/>
      <c r="EC98" s="33"/>
      <c r="ED98" s="33"/>
      <c r="EE98" s="32"/>
      <c r="EF98" s="33"/>
      <c r="EG98" s="33"/>
      <c r="EH98" s="33"/>
      <c r="EI98" s="32"/>
      <c r="EJ98" s="33"/>
      <c r="EK98" s="33"/>
      <c r="EL98" s="33"/>
      <c r="EM98" s="33"/>
      <c r="EN98" s="32"/>
      <c r="EO98" s="32"/>
      <c r="EP98" s="70">
        <f t="shared" si="49"/>
        <v>11024.016182000001</v>
      </c>
    </row>
    <row r="99" spans="1:146" x14ac:dyDescent="0.4">
      <c r="A99" s="22">
        <v>2025</v>
      </c>
      <c r="B99" s="37">
        <v>45931</v>
      </c>
      <c r="C99" s="38">
        <f t="shared" si="35"/>
        <v>31</v>
      </c>
      <c r="D99" s="39">
        <v>1428.1694838709686</v>
      </c>
      <c r="E99" s="39">
        <v>1443</v>
      </c>
      <c r="F99" s="39">
        <v>60.894545454545458</v>
      </c>
      <c r="G99" s="39">
        <v>64.543478260869563</v>
      </c>
      <c r="H99" s="7"/>
      <c r="I99" s="40">
        <v>19.514516129032259</v>
      </c>
      <c r="J99" s="39">
        <v>26.05</v>
      </c>
      <c r="K99" s="39">
        <v>12.75</v>
      </c>
      <c r="L99" s="40">
        <v>17.399999999999999</v>
      </c>
      <c r="M99" s="22"/>
      <c r="N99" s="41">
        <v>4468.9315070000002</v>
      </c>
      <c r="O99" s="41">
        <v>3051.6485900000002</v>
      </c>
      <c r="P99" s="42">
        <f t="shared" si="50"/>
        <v>7520.580097</v>
      </c>
      <c r="Q99" s="41">
        <v>983.85098899999957</v>
      </c>
      <c r="R99" s="41">
        <v>458.86569900000006</v>
      </c>
      <c r="S99" s="41">
        <v>1616.7013259999999</v>
      </c>
      <c r="T99" s="41">
        <v>11.337429999999998</v>
      </c>
      <c r="U99" s="42">
        <f t="shared" si="51"/>
        <v>3059.4180139999994</v>
      </c>
      <c r="V99" s="42">
        <f t="shared" si="38"/>
        <v>10579.998110999999</v>
      </c>
      <c r="W99" s="39">
        <v>21.448344000000002</v>
      </c>
      <c r="X99" s="42">
        <f t="shared" si="39"/>
        <v>10601.446454999999</v>
      </c>
      <c r="Z99" s="42">
        <v>20808</v>
      </c>
      <c r="AB99" s="41">
        <v>4360.0920150000047</v>
      </c>
      <c r="AC99" s="41">
        <v>932.33130599999993</v>
      </c>
      <c r="AD99" s="41">
        <v>5616.753294000001</v>
      </c>
      <c r="AE99" s="41">
        <v>124.910292</v>
      </c>
      <c r="AF99" s="42">
        <f t="shared" si="36"/>
        <v>11034.086907000006</v>
      </c>
      <c r="AH99" s="41">
        <v>2910.1148919999996</v>
      </c>
      <c r="AI99" s="41">
        <v>140.22999300000001</v>
      </c>
      <c r="AJ99" s="41">
        <v>1858.8961259999994</v>
      </c>
      <c r="AK99" s="41">
        <v>567.79512400000021</v>
      </c>
      <c r="AL99" s="41">
        <v>94.592524000000026</v>
      </c>
      <c r="AM99" s="41">
        <v>45.124635000000005</v>
      </c>
      <c r="AN99" s="42">
        <f t="shared" si="37"/>
        <v>2706.638402</v>
      </c>
      <c r="AO99" s="43">
        <f t="shared" si="40"/>
        <v>0.25582598159312658</v>
      </c>
      <c r="AQ99" s="40">
        <v>29.541209903225795</v>
      </c>
      <c r="AR99" s="44">
        <v>29.328692419354816</v>
      </c>
      <c r="AS99" s="44">
        <v>0</v>
      </c>
      <c r="AT99" s="40">
        <v>1.0162000000000001E-2</v>
      </c>
      <c r="AU99" s="40">
        <v>2.4494240000000005</v>
      </c>
      <c r="AV99" s="40">
        <v>0</v>
      </c>
      <c r="AW99" s="40">
        <f t="shared" si="41"/>
        <v>29.622299171735779</v>
      </c>
      <c r="AX99" s="7"/>
      <c r="AY99" s="44">
        <v>29.013767580645137</v>
      </c>
      <c r="AZ99" s="44">
        <v>0</v>
      </c>
      <c r="BA99" s="44">
        <v>0.31492483870967741</v>
      </c>
      <c r="BB99" s="44">
        <v>0</v>
      </c>
      <c r="BC99" s="7"/>
      <c r="BD99" s="38">
        <f t="shared" si="42"/>
        <v>1769.1476872008143</v>
      </c>
      <c r="BE99" s="38">
        <f t="shared" si="43"/>
        <v>699.07431120797787</v>
      </c>
      <c r="BF99" s="7"/>
      <c r="BG99" s="40">
        <v>3.3841000000000001</v>
      </c>
      <c r="BH99" s="44">
        <v>3.3841000000000001</v>
      </c>
      <c r="BI99" s="44">
        <v>13.5388</v>
      </c>
      <c r="BJ99" s="38">
        <v>679.12400000000002</v>
      </c>
      <c r="BK99" s="38">
        <v>811.58429999999998</v>
      </c>
      <c r="BL99" s="38">
        <v>220.04900000000001</v>
      </c>
      <c r="BM99" s="40">
        <v>3.4334886579584842</v>
      </c>
      <c r="BN99" s="7"/>
      <c r="BO99" s="39">
        <f t="shared" si="45"/>
        <v>114.78083931254442</v>
      </c>
      <c r="BP99" s="39">
        <f t="shared" si="56"/>
        <v>1.9948153205312005</v>
      </c>
      <c r="BQ99" s="40">
        <f t="shared" si="57"/>
        <v>116.77565463307562</v>
      </c>
      <c r="BS99" s="41">
        <v>0</v>
      </c>
      <c r="BT99" s="41">
        <v>21.149282000000003</v>
      </c>
      <c r="BU99" s="41">
        <v>0</v>
      </c>
      <c r="BV99" s="41">
        <v>0</v>
      </c>
      <c r="BW99" s="41">
        <v>0.29699999999999999</v>
      </c>
      <c r="BX99" s="41">
        <v>2.0620000000000005E-3</v>
      </c>
      <c r="BY99" s="42">
        <f t="shared" si="46"/>
        <v>21.448344000000002</v>
      </c>
      <c r="BZ99" s="41">
        <v>0</v>
      </c>
      <c r="CA99" s="41">
        <v>0</v>
      </c>
      <c r="CB99" s="41">
        <v>0</v>
      </c>
      <c r="CC99" s="41">
        <v>10.549626</v>
      </c>
      <c r="CD99" s="41">
        <v>114</v>
      </c>
      <c r="CE99" s="41">
        <v>2.0666E-2</v>
      </c>
      <c r="CF99" s="42">
        <f>SUM(BZ99:CE99)</f>
        <v>124.57029200000001</v>
      </c>
      <c r="CG99" s="7"/>
      <c r="CH99" s="41"/>
      <c r="CI99" s="41"/>
      <c r="CJ99" s="41"/>
      <c r="CK99" s="41">
        <v>40</v>
      </c>
      <c r="CL99" s="41"/>
      <c r="CM99" s="42">
        <f>IFERROR((CH99*BS99+CI99*BU99+CJ99*BV99+CK99*BW99+CL99*BX99)/BY99,0)</f>
        <v>0.55388891561977927</v>
      </c>
      <c r="CN99" s="41"/>
      <c r="CO99" s="41"/>
      <c r="CP99" s="41">
        <v>120</v>
      </c>
      <c r="CQ99" s="41">
        <v>25</v>
      </c>
      <c r="CR99" s="41"/>
      <c r="CS99" s="42">
        <f t="shared" si="47"/>
        <v>33.041225591732577</v>
      </c>
      <c r="CU99" s="64">
        <v>53.762011669028766</v>
      </c>
      <c r="CV99" s="64">
        <v>7.3922383922383927</v>
      </c>
      <c r="CW99" s="64">
        <v>2.2485308385308387</v>
      </c>
      <c r="CX99" s="65">
        <v>4.6414968814968818</v>
      </c>
      <c r="CY99" s="66">
        <v>68.04427778129488</v>
      </c>
      <c r="CZ99" s="117"/>
      <c r="DA99" s="42">
        <v>38419.515846774215</v>
      </c>
      <c r="DB99" s="40">
        <v>26.902880486167746</v>
      </c>
      <c r="DD99" s="42">
        <v>69686.090504494859</v>
      </c>
      <c r="DE99" s="39">
        <f t="shared" si="55"/>
        <v>48.292509012123951</v>
      </c>
      <c r="DF99" s="55">
        <f t="shared" si="48"/>
        <v>0.70972182506431691</v>
      </c>
      <c r="DH99" s="39"/>
      <c r="DI99" s="42"/>
      <c r="DK99" s="42"/>
      <c r="DL99" s="42"/>
      <c r="DN99" s="41"/>
      <c r="DO99" s="41"/>
      <c r="DQ99" s="39"/>
      <c r="DR99" s="39"/>
      <c r="DT99" s="56"/>
      <c r="DU99" s="56"/>
      <c r="DV99" s="55"/>
      <c r="DX99" s="39"/>
      <c r="DY99" s="39"/>
      <c r="DZ99" s="39"/>
      <c r="EA99" s="39"/>
      <c r="EB99" s="39"/>
      <c r="EC99" s="39"/>
      <c r="ED99" s="39"/>
      <c r="EE99" s="42"/>
      <c r="EF99" s="39"/>
      <c r="EG99" s="39"/>
      <c r="EH99" s="39"/>
      <c r="EI99" s="42"/>
      <c r="EJ99" s="39"/>
      <c r="EK99" s="39"/>
      <c r="EL99" s="39"/>
      <c r="EM99" s="39"/>
      <c r="EN99" s="42"/>
      <c r="EO99" s="39"/>
      <c r="EP99" s="72">
        <f t="shared" si="49"/>
        <v>11034.086907000006</v>
      </c>
    </row>
    <row r="100" spans="1:146" x14ac:dyDescent="0.4">
      <c r="A100" s="26">
        <v>2025</v>
      </c>
      <c r="B100" s="27">
        <v>45962</v>
      </c>
      <c r="C100" s="28">
        <f t="shared" si="35"/>
        <v>30</v>
      </c>
      <c r="D100" s="29">
        <v>1444.0607999999897</v>
      </c>
      <c r="E100" s="29">
        <v>1450.75</v>
      </c>
      <c r="F100" s="29">
        <v>60.365333333333332</v>
      </c>
      <c r="G100" s="29">
        <v>63.680624999999999</v>
      </c>
      <c r="H100" s="7"/>
      <c r="I100" s="30">
        <v>20.6</v>
      </c>
      <c r="J100" s="29">
        <v>26.5</v>
      </c>
      <c r="K100" s="29">
        <v>15</v>
      </c>
      <c r="L100" s="30">
        <v>20.5</v>
      </c>
      <c r="M100" s="22"/>
      <c r="N100" s="31">
        <v>4649.7943269999978</v>
      </c>
      <c r="O100" s="31">
        <v>2997.3401310000008</v>
      </c>
      <c r="P100" s="32">
        <f t="shared" si="50"/>
        <v>7647.1344579999986</v>
      </c>
      <c r="Q100" s="31">
        <v>932.24516799999981</v>
      </c>
      <c r="R100" s="31">
        <v>482.55191300000001</v>
      </c>
      <c r="S100" s="31">
        <v>1545.0434680000001</v>
      </c>
      <c r="T100" s="31">
        <v>104.35918500000002</v>
      </c>
      <c r="U100" s="32">
        <f t="shared" si="51"/>
        <v>2959.8405489999996</v>
      </c>
      <c r="V100" s="32">
        <f t="shared" si="38"/>
        <v>10606.975006999997</v>
      </c>
      <c r="W100" s="33">
        <v>8.9229640000000003</v>
      </c>
      <c r="X100" s="32">
        <f t="shared" si="39"/>
        <v>10615.897970999997</v>
      </c>
      <c r="Z100" s="32">
        <v>23537</v>
      </c>
      <c r="AB100" s="34">
        <v>5035.7393770000035</v>
      </c>
      <c r="AC100" s="34">
        <v>906.91007400000001</v>
      </c>
      <c r="AD100" s="34">
        <v>5168.6801039999982</v>
      </c>
      <c r="AE100" s="34">
        <v>17.656307999999999</v>
      </c>
      <c r="AF100" s="32">
        <f t="shared" si="36"/>
        <v>11128.985863000002</v>
      </c>
      <c r="AH100" s="31">
        <v>2818.2045329999992</v>
      </c>
      <c r="AI100" s="31">
        <v>120.031261</v>
      </c>
      <c r="AJ100" s="31">
        <v>1543.8285580000004</v>
      </c>
      <c r="AK100" s="31">
        <v>553.2269940000001</v>
      </c>
      <c r="AL100" s="31">
        <v>89.307551000000004</v>
      </c>
      <c r="AM100" s="31">
        <v>44.081206999999999</v>
      </c>
      <c r="AN100" s="32">
        <f>SUM(AI100:AM100)</f>
        <v>2350.4755710000009</v>
      </c>
      <c r="AO100" s="35">
        <f t="shared" si="40"/>
        <v>0.22159716313546712</v>
      </c>
      <c r="AQ100" s="30">
        <v>34.630544799999996</v>
      </c>
      <c r="AR100" s="36">
        <v>34.299999999999997</v>
      </c>
      <c r="AS100" s="36">
        <v>0.3</v>
      </c>
      <c r="AT100" s="30">
        <v>0.42177700000000001</v>
      </c>
      <c r="AU100" s="30">
        <v>3.7496979999999995</v>
      </c>
      <c r="AV100" s="30">
        <v>0</v>
      </c>
      <c r="AW100" s="30">
        <f t="shared" si="41"/>
        <v>34.774615527936504</v>
      </c>
      <c r="AX100" s="7"/>
      <c r="AY100" s="36">
        <v>34.299999999999997</v>
      </c>
      <c r="AZ100" s="36">
        <v>0.3</v>
      </c>
      <c r="BA100" s="36">
        <v>0</v>
      </c>
      <c r="BB100" s="36">
        <v>0</v>
      </c>
      <c r="BC100" s="7"/>
      <c r="BD100" s="32">
        <f t="shared" si="42"/>
        <v>1740.2018764244706</v>
      </c>
      <c r="BE100" s="32">
        <f t="shared" si="43"/>
        <v>787.42153336492197</v>
      </c>
      <c r="BF100" s="7"/>
      <c r="BG100" s="30">
        <v>3.0270000000000001</v>
      </c>
      <c r="BH100" s="36">
        <v>3.03</v>
      </c>
      <c r="BI100" s="36">
        <v>2.8</v>
      </c>
      <c r="BJ100" s="28">
        <v>649.43520264610925</v>
      </c>
      <c r="BK100" s="28">
        <v>740.03903081432941</v>
      </c>
      <c r="BL100" s="28">
        <v>220.04999856753301</v>
      </c>
      <c r="BM100" s="30">
        <v>3.0933660433396239</v>
      </c>
      <c r="BN100" s="7"/>
      <c r="BO100" s="29">
        <f t="shared" si="45"/>
        <v>116.47406567733333</v>
      </c>
      <c r="BP100" s="29">
        <f>+(BJ100*AT100+AU100*BK100+BL100*AV100)/1000</f>
        <v>3.048839705232897</v>
      </c>
      <c r="BQ100" s="30">
        <f>+BO100+BP100</f>
        <v>119.52290538256622</v>
      </c>
      <c r="BS100" s="31">
        <v>0.69295499999999954</v>
      </c>
      <c r="BT100" s="31">
        <v>4.4031700000000003</v>
      </c>
      <c r="BU100" s="31">
        <v>0</v>
      </c>
      <c r="BV100" s="31">
        <v>0</v>
      </c>
      <c r="BW100" s="31">
        <v>3.8250000000000002</v>
      </c>
      <c r="BX100" s="31">
        <v>1.8390000000000001E-3</v>
      </c>
      <c r="BY100" s="32">
        <f>+BS100+BU100+BV100+BW100+BX100+BT100</f>
        <v>8.9229640000000003</v>
      </c>
      <c r="BZ100" s="31">
        <v>0</v>
      </c>
      <c r="CA100" s="31">
        <v>0</v>
      </c>
      <c r="CB100" s="31">
        <v>0</v>
      </c>
      <c r="CC100" s="31">
        <v>10.355136</v>
      </c>
      <c r="CD100" s="31">
        <v>7.2830000000000004</v>
      </c>
      <c r="CE100" s="31">
        <v>1.8172000000000001E-2</v>
      </c>
      <c r="CF100" s="32">
        <f>SUM(BZ100:CE100)</f>
        <v>17.656307999999999</v>
      </c>
      <c r="CG100" s="7"/>
      <c r="CH100" s="31">
        <v>50.000000000000007</v>
      </c>
      <c r="CI100" s="31"/>
      <c r="CJ100" s="31"/>
      <c r="CK100" s="31">
        <v>71.780392156862746</v>
      </c>
      <c r="CL100" s="31"/>
      <c r="CM100" s="32">
        <f>IFERROR((CH100*BS100+CI100*BU100+CJ100*BV100+CK100*BW100+CL100*BX100)/BY100,0)</f>
        <v>34.653031212498441</v>
      </c>
      <c r="CN100" s="31"/>
      <c r="CO100" s="31"/>
      <c r="CP100" s="31">
        <v>120</v>
      </c>
      <c r="CQ100" s="31">
        <v>25</v>
      </c>
      <c r="CR100" s="31">
        <v>1.8172000000000001E-2</v>
      </c>
      <c r="CS100" s="32">
        <f t="shared" si="47"/>
        <v>80.690235479670164</v>
      </c>
      <c r="CU100" s="61">
        <v>35.6</v>
      </c>
      <c r="CV100" s="61">
        <v>8.3999999999999986</v>
      </c>
      <c r="CW100" s="61">
        <v>5.8</v>
      </c>
      <c r="CX100" s="62">
        <v>5.7</v>
      </c>
      <c r="CY100" s="63">
        <v>55.5</v>
      </c>
      <c r="CZ100" s="117"/>
      <c r="DA100" s="32">
        <v>46623.915666666624</v>
      </c>
      <c r="DB100" s="30">
        <v>32.334184096325167</v>
      </c>
      <c r="DD100" s="50">
        <v>74090.583244659982</v>
      </c>
      <c r="DE100" s="29">
        <f t="shared" si="55"/>
        <v>51.070538166231245</v>
      </c>
      <c r="DF100" s="51">
        <f>+DV100</f>
        <v>0.77434417070265704</v>
      </c>
      <c r="DH100" s="60">
        <v>1</v>
      </c>
      <c r="DI100" s="60">
        <v>0.46893209764998356</v>
      </c>
      <c r="DK100" s="50">
        <f>+DL100*E100</f>
        <v>105324.00000000001</v>
      </c>
      <c r="DL100" s="29">
        <v>72.599689815612621</v>
      </c>
      <c r="DN100" s="31">
        <f>$P100</f>
        <v>7647.1344579999986</v>
      </c>
      <c r="DO100" s="31">
        <f>$U100</f>
        <v>2959.8405489999996</v>
      </c>
      <c r="DQ100" s="29">
        <v>49.876246497605187</v>
      </c>
      <c r="DR100" s="29">
        <f>+CY100</f>
        <v>55.5</v>
      </c>
      <c r="DT100" s="54">
        <f>+DQ100/DL100</f>
        <v>0.68700357569405568</v>
      </c>
      <c r="DU100" s="54">
        <f>+DR100/CY100</f>
        <v>1</v>
      </c>
      <c r="DV100" s="51">
        <f>+SUMPRODUCT(DT100:DU100,DN100:DO100)/SUM(DN100:DO100)</f>
        <v>0.77434417070265704</v>
      </c>
      <c r="DX100" s="33">
        <v>1452.6687360000001</v>
      </c>
      <c r="DY100" s="33">
        <v>400.06767200000002</v>
      </c>
      <c r="DZ100" s="33">
        <v>639.08762099999979</v>
      </c>
      <c r="EA100" s="33">
        <v>906.91007400000001</v>
      </c>
      <c r="EB100" s="33">
        <v>1231.761313</v>
      </c>
      <c r="EC100" s="33">
        <v>1411.5413910000004</v>
      </c>
      <c r="ED100" s="33">
        <v>17.656307999999999</v>
      </c>
      <c r="EE100" s="32">
        <f>SUM(DX100:ED100)</f>
        <v>6059.693115</v>
      </c>
      <c r="EF100" s="33">
        <v>987.38142399999981</v>
      </c>
      <c r="EG100" s="33">
        <v>256.009118</v>
      </c>
      <c r="EH100" s="33">
        <v>36.802765000000001</v>
      </c>
      <c r="EI100" s="32">
        <f>SUM(EF100:EH100)</f>
        <v>1280.1933069999998</v>
      </c>
      <c r="EJ100" s="33">
        <v>181.656057</v>
      </c>
      <c r="EK100" s="123">
        <v>2929.0704999999989</v>
      </c>
      <c r="EL100" s="33">
        <v>649.05508200000008</v>
      </c>
      <c r="EM100" s="33">
        <v>29.317802000000029</v>
      </c>
      <c r="EN100" s="32">
        <f>SUM(EJ100:EM100)</f>
        <v>3789.0994409999989</v>
      </c>
      <c r="EO100" s="32">
        <f>EI100+EN100</f>
        <v>5069.2927479999989</v>
      </c>
      <c r="EP100" s="70">
        <f>EO100+EE100</f>
        <v>11128.985862999998</v>
      </c>
    </row>
    <row r="101" spans="1:146" x14ac:dyDescent="0.4">
      <c r="A101" s="22">
        <v>2025</v>
      </c>
      <c r="B101" s="37">
        <v>45992</v>
      </c>
      <c r="C101" s="38">
        <f t="shared" ref="C101:C102" si="58">EDATE(B101,1)-B101</f>
        <v>31</v>
      </c>
      <c r="D101" s="39">
        <v>1441.1210000000044</v>
      </c>
      <c r="E101" s="39">
        <v>1459.4167</v>
      </c>
      <c r="F101" s="39">
        <v>57.972272727272731</v>
      </c>
      <c r="G101" s="39">
        <v>62.544285714285706</v>
      </c>
      <c r="H101" s="7"/>
      <c r="I101" s="40">
        <v>25.900000000000002</v>
      </c>
      <c r="J101" s="39">
        <v>33.200000000000003</v>
      </c>
      <c r="K101" s="39">
        <v>20.6</v>
      </c>
      <c r="L101" s="40">
        <v>23.1</v>
      </c>
      <c r="M101" s="22"/>
      <c r="N101" s="41">
        <v>6537.8282100000024</v>
      </c>
      <c r="O101" s="41">
        <v>3414.9139540000001</v>
      </c>
      <c r="P101" s="42">
        <f t="shared" si="50"/>
        <v>9952.742164000003</v>
      </c>
      <c r="Q101" s="41">
        <v>993.67150400000003</v>
      </c>
      <c r="R101" s="41">
        <v>501.96038499999997</v>
      </c>
      <c r="S101" s="41">
        <v>1475.6929780000003</v>
      </c>
      <c r="T101" s="41">
        <v>153.75713600000003</v>
      </c>
      <c r="U101" s="42">
        <f t="shared" ref="U101" si="59">+SUM(Q101:S101)</f>
        <v>2971.3248670000003</v>
      </c>
      <c r="V101" s="42">
        <f t="shared" ref="V101" si="60">N101+O101+U101</f>
        <v>12924.067031000002</v>
      </c>
      <c r="W101" s="39">
        <v>81.031793999999991</v>
      </c>
      <c r="X101" s="42">
        <f t="shared" si="39"/>
        <v>13005.098825000003</v>
      </c>
      <c r="Z101" s="42">
        <v>27891</v>
      </c>
      <c r="AB101" s="41">
        <v>7532.6904400000049</v>
      </c>
      <c r="AC101" s="41">
        <v>924.86650300000008</v>
      </c>
      <c r="AD101" s="41">
        <v>5108.5137870000017</v>
      </c>
      <c r="AE101" s="41">
        <v>53.083348000000001</v>
      </c>
      <c r="AF101" s="42">
        <f>+SUM(AB101:AE101)</f>
        <v>13619.154078000007</v>
      </c>
      <c r="AH101" s="41">
        <v>2542.2727590000004</v>
      </c>
      <c r="AI101" s="41">
        <v>129.452054</v>
      </c>
      <c r="AJ101" s="41">
        <v>1696.784883</v>
      </c>
      <c r="AK101" s="41">
        <v>609.56388799999979</v>
      </c>
      <c r="AL101" s="41">
        <v>86.655011000000002</v>
      </c>
      <c r="AM101" s="41">
        <v>43.784927000000025</v>
      </c>
      <c r="AN101" s="42">
        <f t="shared" ref="AN101" si="61">SUM(AI101:AM101)</f>
        <v>2566.2407629999998</v>
      </c>
      <c r="AO101" s="43">
        <f t="shared" ref="AO101" si="62">AN101/V101</f>
        <v>0.19856294128191598</v>
      </c>
      <c r="AQ101" s="82">
        <v>51.439785419354806</v>
      </c>
      <c r="AR101" s="83">
        <v>51.277077544271059</v>
      </c>
      <c r="AS101" s="83">
        <v>0.16270787508374721</v>
      </c>
      <c r="AT101" s="82">
        <v>7.4330000000000004E-3</v>
      </c>
      <c r="AU101" s="82">
        <v>6.0037719999999979</v>
      </c>
      <c r="AV101" s="82">
        <v>7.1105830000000001</v>
      </c>
      <c r="AW101" s="40">
        <f t="shared" si="41"/>
        <v>51.785339779416248</v>
      </c>
      <c r="AX101" s="7"/>
      <c r="AY101" s="44">
        <v>47.417532544271069</v>
      </c>
      <c r="AZ101" s="44">
        <v>0</v>
      </c>
      <c r="BA101" s="44">
        <v>3.8595449999999882</v>
      </c>
      <c r="BB101" s="44">
        <v>0.16270787508374721</v>
      </c>
      <c r="BC101" s="7"/>
      <c r="BD101" s="38">
        <f t="shared" ref="BD101" si="63">+(AW101*C101*8400)/AB101</f>
        <v>1790.1840764559524</v>
      </c>
      <c r="BE101" s="38">
        <f t="shared" ref="BE101:BE102" si="64">+(AW101*C101*8400)/AF101</f>
        <v>990.1424421317854</v>
      </c>
      <c r="BF101" s="7"/>
      <c r="BG101" s="82">
        <v>3.159840903877885</v>
      </c>
      <c r="BH101" s="44">
        <v>3.1323822308244917</v>
      </c>
      <c r="BI101" s="44">
        <v>11.813389520974019</v>
      </c>
      <c r="BJ101" s="38">
        <v>650.06741269633005</v>
      </c>
      <c r="BK101" s="38">
        <v>735.97623064029835</v>
      </c>
      <c r="BL101" s="38">
        <v>220.04999856753301</v>
      </c>
      <c r="BM101" s="40">
        <v>3.2394693859417076</v>
      </c>
      <c r="BN101" s="7"/>
      <c r="BO101" s="39">
        <f t="shared" ref="BO101:BO102" si="65">+BG101/0.027*AQ101*C101/1000</f>
        <v>186.62176591474574</v>
      </c>
      <c r="BP101" s="39">
        <f>+(BJ101*AT101+AU101*BK101+BL101*AV101)/1000</f>
        <v>5.9881492162266605</v>
      </c>
      <c r="BQ101" s="40">
        <f>+BO101+BP101</f>
        <v>192.60991513097241</v>
      </c>
      <c r="BS101" s="85">
        <v>0</v>
      </c>
      <c r="BT101" s="41">
        <v>0</v>
      </c>
      <c r="BU101" s="85">
        <v>0</v>
      </c>
      <c r="BV101" s="85">
        <v>0</v>
      </c>
      <c r="BW101" s="85">
        <v>81.028000000000006</v>
      </c>
      <c r="BX101" s="85">
        <v>3.7940000000000001E-3</v>
      </c>
      <c r="BY101" s="84">
        <f>+BS101+BU101+BV101+BW101+BX101+BT101</f>
        <v>81.031794000000005</v>
      </c>
      <c r="BZ101" s="85">
        <v>25.546341999999999</v>
      </c>
      <c r="CA101" s="41">
        <v>0</v>
      </c>
      <c r="CB101" s="85">
        <v>0</v>
      </c>
      <c r="CC101" s="85">
        <v>10.276242</v>
      </c>
      <c r="CD101" s="85">
        <v>8.642557</v>
      </c>
      <c r="CE101" s="85">
        <v>8.617818999999999</v>
      </c>
      <c r="CF101" s="84">
        <f>SUM(BZ101:CE101)</f>
        <v>53.08296</v>
      </c>
      <c r="CG101" s="86"/>
      <c r="CH101" s="86"/>
      <c r="CI101" s="85"/>
      <c r="CJ101" s="85"/>
      <c r="CK101" s="85">
        <v>64.41711507133337</v>
      </c>
      <c r="CL101" s="85">
        <v>10.152872957301</v>
      </c>
      <c r="CM101" s="84">
        <f>IFERROR((CH101*BS101+CI101*BU101+CJ101*BV101+CK101*BW101+CL101*BX101)/BY101,0)</f>
        <v>64.414574358306822</v>
      </c>
      <c r="CN101" s="85">
        <v>72.123381245043149</v>
      </c>
      <c r="CO101" s="86"/>
      <c r="CP101" s="85">
        <v>120</v>
      </c>
      <c r="CQ101" s="85">
        <v>25</v>
      </c>
      <c r="CR101" s="85">
        <v>41.821019680269451</v>
      </c>
      <c r="CS101" s="42">
        <f t="shared" ref="CS101" si="66">IFERROR(SUMPRODUCT(CN101:CR101,CA101:CE101)/CF101,0)</f>
        <v>34.090392528977283</v>
      </c>
      <c r="CU101" s="64">
        <v>38.296265852196079</v>
      </c>
      <c r="CV101" s="64">
        <v>10.828590748781759</v>
      </c>
      <c r="CW101" s="64">
        <v>3.9467457726647686</v>
      </c>
      <c r="CX101" s="65">
        <v>5.2611399149667797</v>
      </c>
      <c r="CY101" s="66">
        <f>+SUM(CU101:CX101)</f>
        <v>58.332742288609381</v>
      </c>
      <c r="CZ101" s="117"/>
      <c r="DA101" s="84">
        <v>58463.355564516118</v>
      </c>
      <c r="DB101" s="82">
        <v>40.553131985867765</v>
      </c>
      <c r="DD101" s="42">
        <v>68455.915089152666</v>
      </c>
      <c r="DE101" s="39">
        <f t="shared" ref="DE101:DE102" si="67">+DD101/E101</f>
        <v>46.90635312666538</v>
      </c>
      <c r="DF101" s="55">
        <f>+DV101</f>
        <v>0.72473216179430811</v>
      </c>
      <c r="DH101" s="56">
        <v>1</v>
      </c>
      <c r="DI101" s="56">
        <v>5.0516658412260683E-2</v>
      </c>
      <c r="DK101" s="42">
        <f>+DL101*E101</f>
        <v>106537.4191</v>
      </c>
      <c r="DL101" s="39">
        <v>73</v>
      </c>
      <c r="DN101" s="41">
        <f>$P101</f>
        <v>9952.742164000003</v>
      </c>
      <c r="DO101" s="41">
        <f>$U101</f>
        <v>2971.3248670000003</v>
      </c>
      <c r="DQ101" s="39">
        <v>46.90635312666538</v>
      </c>
      <c r="DR101" s="39">
        <f>+CY101</f>
        <v>58.332742288609381</v>
      </c>
      <c r="DT101" s="87">
        <f>+DQ101/DL101</f>
        <v>0.64255278255705994</v>
      </c>
      <c r="DU101" s="87">
        <f>+DR101/CY101</f>
        <v>1</v>
      </c>
      <c r="DV101" s="88">
        <f>+SUMPRODUCT(DT101:DU101,DN101:DO101)/SUM(DN101:DO101)</f>
        <v>0.72473216179430811</v>
      </c>
      <c r="DX101" s="39">
        <v>1346.010503</v>
      </c>
      <c r="DY101" s="39">
        <v>287.74578499999996</v>
      </c>
      <c r="DZ101" s="39">
        <v>562.55559999999969</v>
      </c>
      <c r="EA101" s="39">
        <v>924.86650300000008</v>
      </c>
      <c r="EB101" s="39">
        <v>1384.8213370000001</v>
      </c>
      <c r="EC101" s="39">
        <v>2189.8184400000009</v>
      </c>
      <c r="ED101" s="39">
        <v>53.082960000000007</v>
      </c>
      <c r="EE101" s="42">
        <f>SUM(DX101:ED101)</f>
        <v>6748.9011280000004</v>
      </c>
      <c r="EF101" s="39">
        <v>1018.6328249999997</v>
      </c>
      <c r="EG101" s="39">
        <v>303.22692799999993</v>
      </c>
      <c r="EH101" s="39">
        <v>125.88018900000002</v>
      </c>
      <c r="EI101" s="42">
        <f>SUM(EF101:EH101)</f>
        <v>1447.7399419999997</v>
      </c>
      <c r="EJ101" s="39">
        <v>120.493556</v>
      </c>
      <c r="EK101" s="124">
        <v>4570.4756149999976</v>
      </c>
      <c r="EL101" s="39">
        <v>637.03730499999995</v>
      </c>
      <c r="EM101" s="39">
        <v>94.506532000007482</v>
      </c>
      <c r="EN101" s="42">
        <f>SUM(EJ101:EM101)</f>
        <v>5422.5130080000054</v>
      </c>
      <c r="EO101" s="42">
        <f>SUM(EI101,EN101)</f>
        <v>6870.2529500000055</v>
      </c>
      <c r="EP101" s="42">
        <f>SUM(EO101,EE101)</f>
        <v>13619.154078000007</v>
      </c>
    </row>
    <row r="102" spans="1:146" x14ac:dyDescent="0.4">
      <c r="A102" s="26">
        <v>2026</v>
      </c>
      <c r="B102" s="27">
        <v>46023</v>
      </c>
      <c r="C102" s="28">
        <f t="shared" si="58"/>
        <v>31</v>
      </c>
      <c r="D102" s="29">
        <v>1464.815709677415</v>
      </c>
      <c r="E102" s="29">
        <v>1447.6657</v>
      </c>
      <c r="F102" s="29">
        <v>59.167499999999997</v>
      </c>
      <c r="G102" s="29">
        <v>65.542352941176489</v>
      </c>
      <c r="H102" s="7"/>
      <c r="I102" s="30">
        <v>25.1</v>
      </c>
      <c r="J102" s="29">
        <v>30.6</v>
      </c>
      <c r="K102" s="29">
        <v>18.899999999999999</v>
      </c>
      <c r="L102" s="30">
        <v>24.6</v>
      </c>
      <c r="M102" s="22"/>
      <c r="N102" s="31">
        <v>6478.3271370000011</v>
      </c>
      <c r="O102" s="31">
        <v>3481.2421859999972</v>
      </c>
      <c r="P102" s="32">
        <f t="shared" ref="P102" si="68">+SUM(N102:O102)</f>
        <v>9959.5693229999979</v>
      </c>
      <c r="Q102" s="31">
        <v>1008.608664</v>
      </c>
      <c r="R102" s="31">
        <v>499.38053100000002</v>
      </c>
      <c r="S102" s="31">
        <v>1512.9939300000003</v>
      </c>
      <c r="T102" s="31">
        <v>159.17127600000003</v>
      </c>
      <c r="U102" s="32">
        <f>+SUM(Q102:T102)</f>
        <v>3180.1544010000007</v>
      </c>
      <c r="V102" s="32">
        <f>N102+O102+U102</f>
        <v>13139.723723999999</v>
      </c>
      <c r="W102" s="33">
        <v>58.199075000000001</v>
      </c>
      <c r="X102" s="32">
        <f>V102+W102</f>
        <v>13197.922799</v>
      </c>
      <c r="Z102" s="32">
        <v>26716</v>
      </c>
      <c r="AB102" s="34">
        <v>7764.8050250000006</v>
      </c>
      <c r="AC102" s="34">
        <v>932.67386700000009</v>
      </c>
      <c r="AD102" s="34">
        <v>4826.0873129999991</v>
      </c>
      <c r="AE102" s="34">
        <v>151.43321400000002</v>
      </c>
      <c r="AF102" s="32">
        <f t="shared" ref="AF102" si="69">SUM(AB102:AE102)</f>
        <v>13674.999419</v>
      </c>
      <c r="AH102" s="31">
        <v>2349.57177</v>
      </c>
      <c r="AI102" s="31">
        <v>122.263774</v>
      </c>
      <c r="AJ102" s="31">
        <v>1598.6092549999998</v>
      </c>
      <c r="AK102" s="31">
        <v>627.24288999999987</v>
      </c>
      <c r="AL102" s="31">
        <v>86.343204999999983</v>
      </c>
      <c r="AM102" s="31">
        <v>42.056419000000041</v>
      </c>
      <c r="AN102" s="32">
        <f>SUM(AI102:AM102)</f>
        <v>2476.515543</v>
      </c>
      <c r="AO102" s="35">
        <f>AN102/V102</f>
        <v>0.18847546531565113</v>
      </c>
      <c r="AQ102" s="30">
        <v>52.930861645161279</v>
      </c>
      <c r="AR102" s="36">
        <v>52.137237096100975</v>
      </c>
      <c r="AS102" s="36">
        <v>0.79362454906030422</v>
      </c>
      <c r="AT102" s="30">
        <v>1.9567999999999999E-2</v>
      </c>
      <c r="AU102" s="30">
        <v>5.3941280000000011</v>
      </c>
      <c r="AV102" s="30">
        <v>24.564760999999997</v>
      </c>
      <c r="AW102" s="30">
        <f t="shared" ref="AW102" si="70">+AQ102+(AT102*9800+AU102*8580+AV102*5400)/8400/C102</f>
        <v>53.618738350384014</v>
      </c>
      <c r="AX102" s="7"/>
      <c r="AY102" s="36">
        <v>41.30183754771388</v>
      </c>
      <c r="AZ102" s="36">
        <v>0.55356783938288479</v>
      </c>
      <c r="BA102" s="36">
        <v>10.835399548387095</v>
      </c>
      <c r="BB102" s="36">
        <v>0.24005670967741943</v>
      </c>
      <c r="BC102" s="7"/>
      <c r="BD102" s="32">
        <f>+(AW102*C102*8400)/AB102</f>
        <v>1798.1545475367548</v>
      </c>
      <c r="BE102" s="32">
        <f t="shared" si="64"/>
        <v>1021.0106076524431</v>
      </c>
      <c r="BF102" s="7"/>
      <c r="BG102" s="30">
        <v>3.2921111786765564</v>
      </c>
      <c r="BH102" s="36">
        <v>3.0490611157975964</v>
      </c>
      <c r="BI102" s="36">
        <v>14.389086087947819</v>
      </c>
      <c r="BJ102" s="28">
        <v>655.20451566608062</v>
      </c>
      <c r="BK102" s="28">
        <v>746.19195285944193</v>
      </c>
      <c r="BL102" s="28">
        <v>220.04999856753301</v>
      </c>
      <c r="BM102" s="30">
        <v>3.4032717204341014</v>
      </c>
      <c r="BN102" s="7"/>
      <c r="BO102" s="29">
        <f t="shared" si="65"/>
        <v>200.06973040331656</v>
      </c>
      <c r="BP102" s="29">
        <f>+(BJ102*AT102+AU102*BK102+BL102*AV102)/1000</f>
        <v>9.4433515711181411</v>
      </c>
      <c r="BQ102" s="30">
        <f>+BO102+BP102</f>
        <v>209.5130819744347</v>
      </c>
      <c r="BS102" s="31"/>
      <c r="BT102" s="31">
        <v>49.768177000000001</v>
      </c>
      <c r="BU102" s="31"/>
      <c r="BV102" s="31"/>
      <c r="BW102" s="31">
        <v>8.3740000000000006</v>
      </c>
      <c r="BX102" s="31">
        <v>6.0999999999999999E-2</v>
      </c>
      <c r="BY102" s="32">
        <f>+BS102+BU102+BV102+BW102+BX102+BT102</f>
        <v>58.203177000000004</v>
      </c>
      <c r="BZ102" s="31">
        <v>108.382302</v>
      </c>
      <c r="CA102" s="31">
        <v>0</v>
      </c>
      <c r="CB102" s="31">
        <v>0</v>
      </c>
      <c r="CC102" s="31">
        <v>10.310309999999999</v>
      </c>
      <c r="CD102" s="31">
        <v>24.681000000000001</v>
      </c>
      <c r="CE102" s="31">
        <v>8.0596019999999999</v>
      </c>
      <c r="CF102" s="32">
        <f>SUM(BZ102:CE102)</f>
        <v>151.43321400000002</v>
      </c>
      <c r="CG102" s="7"/>
      <c r="CH102" s="31"/>
      <c r="CI102" s="31"/>
      <c r="CJ102" s="31"/>
      <c r="CK102" s="31">
        <v>65</v>
      </c>
      <c r="CL102" s="31">
        <v>54.839317101751185</v>
      </c>
      <c r="CM102" s="32">
        <f>IFERROR((CH102*BS102+CI102*BU102+CJ102*BV102+CK102*BW102+CL102*BX102)/BY102,0)</f>
        <v>9.4093694978747777</v>
      </c>
      <c r="CN102" s="31">
        <v>115.23020326827708</v>
      </c>
      <c r="CO102" s="31"/>
      <c r="CP102" s="31">
        <v>120</v>
      </c>
      <c r="CQ102" s="31">
        <v>25</v>
      </c>
      <c r="CR102" s="31">
        <v>72.76410448059346</v>
      </c>
      <c r="CS102" s="32">
        <f>IFERROR((CN102*BZ102+CO102*CB102+CP102*CC102+CQ102*CD102+CR102*CE102)/CF102,0)</f>
        <v>98.588851268413208</v>
      </c>
      <c r="CU102" s="61">
        <v>44</v>
      </c>
      <c r="CV102" s="61">
        <v>11.299999999999995</v>
      </c>
      <c r="CW102" s="61">
        <v>3.9</v>
      </c>
      <c r="CX102" s="62">
        <v>5.4</v>
      </c>
      <c r="CY102" s="63">
        <f>+SUM(CU102:CX102)</f>
        <v>64.599999999999994</v>
      </c>
      <c r="DA102" s="32">
        <v>80838.306142473259</v>
      </c>
      <c r="DB102" s="30">
        <v>55.062429305903628</v>
      </c>
      <c r="DD102" s="50">
        <v>69743.336036391804</v>
      </c>
      <c r="DE102" s="29">
        <f t="shared" si="67"/>
        <v>48.176409813668862</v>
      </c>
      <c r="DF102" s="51">
        <f>+DV102</f>
        <v>0.72725333675722825</v>
      </c>
      <c r="DH102" s="60">
        <v>0.99687061279756395</v>
      </c>
      <c r="DI102" s="60">
        <v>0</v>
      </c>
      <c r="DK102" s="50">
        <f>+DL102*E102</f>
        <v>108719.69407</v>
      </c>
      <c r="DL102" s="29">
        <v>75.099999999999994</v>
      </c>
      <c r="DN102" s="31">
        <f>$P102</f>
        <v>9959.5693229999979</v>
      </c>
      <c r="DO102" s="31">
        <f>$U102</f>
        <v>3180.1544010000007</v>
      </c>
      <c r="DQ102" s="29">
        <v>48.076284618795086</v>
      </c>
      <c r="DR102" s="29">
        <f>+CY102</f>
        <v>64.599999999999994</v>
      </c>
      <c r="DT102" s="54">
        <f>+DQ102/DL102</f>
        <v>0.64016357681484803</v>
      </c>
      <c r="DU102" s="54">
        <f>+DR102/CY102</f>
        <v>1</v>
      </c>
      <c r="DV102" s="51">
        <f>+SUMPRODUCT(DT102:DU102,DN102:DO102)/SUM(DN102:DO102)</f>
        <v>0.72725333675722825</v>
      </c>
      <c r="DX102" s="123">
        <v>944.50625700000001</v>
      </c>
      <c r="DY102" s="123">
        <v>408.21628000000004</v>
      </c>
      <c r="DZ102" s="123">
        <v>498.73449699999969</v>
      </c>
      <c r="EA102" s="123">
        <v>932.67386700000009</v>
      </c>
      <c r="EB102" s="123">
        <v>1307.6758229999998</v>
      </c>
      <c r="EC102" s="123">
        <v>2246.8854279999996</v>
      </c>
      <c r="ED102" s="123">
        <v>151.43321399999996</v>
      </c>
      <c r="EE102" s="28">
        <f>+SUM(DX102:ED102)</f>
        <v>6490.1253659999993</v>
      </c>
      <c r="EF102" s="123">
        <v>1074.9906899999994</v>
      </c>
      <c r="EG102" s="123">
        <v>185.348322</v>
      </c>
      <c r="EH102" s="123">
        <v>180.13635699999995</v>
      </c>
      <c r="EI102" s="28">
        <f>SUM(EF102:EH102)</f>
        <v>1440.4753689999993</v>
      </c>
      <c r="EJ102" s="123">
        <v>258.24152600000002</v>
      </c>
      <c r="EK102" s="123">
        <v>4549.6865420000013</v>
      </c>
      <c r="EL102" s="123">
        <v>782.10110499999996</v>
      </c>
      <c r="EM102" s="123">
        <v>154.36951100000104</v>
      </c>
      <c r="EN102" s="32">
        <f>SUM(EJ102:EM102)</f>
        <v>5744.3986840000016</v>
      </c>
      <c r="EO102" s="32">
        <f>EI102+EN102</f>
        <v>7184.8740530000014</v>
      </c>
      <c r="EP102" s="70">
        <f>EO102+EE102</f>
        <v>13674.999419</v>
      </c>
    </row>
    <row r="103" spans="1:146" x14ac:dyDescent="0.4">
      <c r="A103" s="22">
        <v>2026</v>
      </c>
      <c r="B103" s="37">
        <v>46054</v>
      </c>
      <c r="C103" s="38">
        <f t="shared" ref="C103" si="71">EDATE(B103,1)-B103</f>
        <v>28</v>
      </c>
      <c r="D103" s="39">
        <v>1432.6752499999789</v>
      </c>
      <c r="E103" s="39">
        <v>1408.9662000000001</v>
      </c>
      <c r="F103" s="39">
        <v>64.508421052631576</v>
      </c>
      <c r="G103" s="39">
        <v>70.887000000000015</v>
      </c>
      <c r="H103" s="7"/>
      <c r="I103" s="40">
        <v>25.3</v>
      </c>
      <c r="J103" s="39">
        <v>31.3</v>
      </c>
      <c r="K103" s="39">
        <v>20.5</v>
      </c>
      <c r="L103" s="40">
        <v>23.7</v>
      </c>
      <c r="M103" s="22"/>
      <c r="N103" s="41">
        <v>5559.519863999999</v>
      </c>
      <c r="O103" s="41">
        <v>3303.9063960000008</v>
      </c>
      <c r="P103" s="42">
        <f t="shared" ref="P103" si="72">+SUM(N103:O103)</f>
        <v>8863.4262600000002</v>
      </c>
      <c r="Q103" s="41">
        <v>977.27485100000013</v>
      </c>
      <c r="R103" s="41">
        <v>528.33799999999997</v>
      </c>
      <c r="S103" s="41">
        <v>1388.9339539999992</v>
      </c>
      <c r="T103" s="41">
        <v>1.4023570000000003</v>
      </c>
      <c r="U103" s="42">
        <f>+SUM(Q103:T103)</f>
        <v>2895.949161999999</v>
      </c>
      <c r="V103" s="42">
        <f>N103+O103+U103</f>
        <v>11759.375421999999</v>
      </c>
      <c r="W103" s="39">
        <v>66.791113999999993</v>
      </c>
      <c r="X103" s="42">
        <f>V103+W103</f>
        <v>11826.166535999999</v>
      </c>
      <c r="Z103" s="42">
        <v>28000</v>
      </c>
      <c r="AB103" s="41">
        <v>7470.230980000003</v>
      </c>
      <c r="AC103" s="41">
        <v>829.62933999999996</v>
      </c>
      <c r="AD103" s="41">
        <v>3837.2375169999996</v>
      </c>
      <c r="AE103" s="41">
        <v>131.42912899999999</v>
      </c>
      <c r="AF103" s="42">
        <f t="shared" ref="AF103" si="73">SUM(AB103:AE103)</f>
        <v>12268.526966000003</v>
      </c>
      <c r="AH103" s="41">
        <v>1580.521182</v>
      </c>
      <c r="AI103" s="41">
        <v>113.65641499999998</v>
      </c>
      <c r="AJ103" s="41">
        <v>1454.3278630000002</v>
      </c>
      <c r="AK103" s="41">
        <v>569.47411000000011</v>
      </c>
      <c r="AL103" s="41">
        <v>81.902438000000004</v>
      </c>
      <c r="AM103" s="41">
        <v>37.355486000000006</v>
      </c>
      <c r="AN103" s="42">
        <f>SUM(AI103:AM103)</f>
        <v>2256.716312</v>
      </c>
      <c r="AO103" s="43">
        <f>AN103/V103</f>
        <v>0.19190783787530311</v>
      </c>
      <c r="AQ103" s="82">
        <v>55.96499657142855</v>
      </c>
      <c r="AR103" s="83">
        <v>55.158922052734617</v>
      </c>
      <c r="AS103" s="83">
        <v>0.77999755440824303</v>
      </c>
      <c r="AT103" s="82">
        <v>2.4640000000000005E-3</v>
      </c>
      <c r="AU103" s="82">
        <v>5.5112980000000018</v>
      </c>
      <c r="AV103" s="82">
        <v>30.609235999999996</v>
      </c>
      <c r="AW103" s="40">
        <f t="shared" ref="AW103" si="74">+AQ103+(AT103*9800+AU103*8580+AV103*5400)/8400/C103</f>
        <v>56.868912211054401</v>
      </c>
      <c r="AX103" s="7"/>
      <c r="AY103" s="44">
        <v>40.424868338448896</v>
      </c>
      <c r="AZ103" s="44">
        <v>0.50350266155110013</v>
      </c>
      <c r="BA103" s="44">
        <v>14.73405371428572</v>
      </c>
      <c r="BB103" s="44">
        <v>0.2764948928571429</v>
      </c>
      <c r="BC103" s="7"/>
      <c r="BD103" s="38">
        <f>+(AW103*C103*8400)/AB103</f>
        <v>1790.5160078517399</v>
      </c>
      <c r="BE103" s="38">
        <f t="shared" ref="BE103" si="75">+(AW103*C103*8400)/AF103</f>
        <v>1090.2342383162995</v>
      </c>
      <c r="BF103" s="7"/>
      <c r="BG103" s="82">
        <v>3.4126626108881148</v>
      </c>
      <c r="BH103" s="44">
        <v>3.2527896082495324</v>
      </c>
      <c r="BI103" s="44">
        <v>14.785482087019961</v>
      </c>
      <c r="BJ103" s="38">
        <v>652.17307377600991</v>
      </c>
      <c r="BK103" s="38">
        <v>743.89478525416791</v>
      </c>
      <c r="BL103" s="38">
        <v>220.04999856753301</v>
      </c>
      <c r="BM103" s="40">
        <v>3.5421745041345614</v>
      </c>
      <c r="BN103" s="7"/>
      <c r="BO103" s="39">
        <f t="shared" ref="BO103" si="76">+BG103/0.027*AQ103*C103/1000</f>
        <v>198.06334210734374</v>
      </c>
      <c r="BP103" s="39">
        <f>+(BJ103*AT103+AU103*BK103+BL103*AV103)/1000</f>
        <v>10.83699513458879</v>
      </c>
      <c r="BQ103" s="40">
        <f>+BO103+BP103</f>
        <v>208.90033724193253</v>
      </c>
      <c r="BS103" s="85">
        <v>0.68522400000000006</v>
      </c>
      <c r="BT103" s="41"/>
      <c r="BU103" s="85"/>
      <c r="BV103" s="85"/>
      <c r="BW103" s="85">
        <v>66.102999999999994</v>
      </c>
      <c r="BX103" s="85">
        <v>2.8900000000000002E-3</v>
      </c>
      <c r="BY103" s="84">
        <f>+BS103+BU103+BV103+BW103+BX103+BT103</f>
        <v>66.791113999999993</v>
      </c>
      <c r="BZ103" s="85">
        <v>111.542677</v>
      </c>
      <c r="CA103" s="41"/>
      <c r="CB103" s="85">
        <v>1.0010159999999999</v>
      </c>
      <c r="CC103" s="85">
        <v>9.5987759999999991</v>
      </c>
      <c r="CD103" s="85">
        <v>9.2710000000000008</v>
      </c>
      <c r="CE103" s="85">
        <v>1.566E-2</v>
      </c>
      <c r="CF103" s="84">
        <f>SUM(BZ103:CE103)</f>
        <v>131.42912899999999</v>
      </c>
      <c r="CG103" s="86"/>
      <c r="CH103" s="85">
        <v>90</v>
      </c>
      <c r="CI103" s="85"/>
      <c r="CJ103" s="85"/>
      <c r="CK103" s="85">
        <v>86.097529612876869</v>
      </c>
      <c r="CL103" s="85"/>
      <c r="CM103" s="84">
        <f>IFERROR((CH103*BS103+CI103*BU103+CJ103*BV103+CK103*BW103+CL103*BX103)/BY103,0)</f>
        <v>86.133840498602851</v>
      </c>
      <c r="CN103" s="85">
        <v>121.69186115771957</v>
      </c>
      <c r="CO103" s="85">
        <v>23.459085569061834</v>
      </c>
      <c r="CP103" s="85">
        <v>120</v>
      </c>
      <c r="CQ103" s="85">
        <v>25</v>
      </c>
      <c r="CR103" s="85"/>
      <c r="CS103" s="84">
        <f>IFERROR((CN103*BZ103+CO103*CB103+CP103*CC103+CQ103*CD103+CR103*CE103)/CF103,0)</f>
        <v>113.9849827555683</v>
      </c>
      <c r="CU103" s="64">
        <v>44.011790456903121</v>
      </c>
      <c r="CV103" s="64">
        <v>10.8</v>
      </c>
      <c r="CW103" s="64">
        <v>4.2415653871976247</v>
      </c>
      <c r="CX103" s="65">
        <v>5.5316881739967227</v>
      </c>
      <c r="CY103" s="66">
        <f>+SUM(CU103:CX103)</f>
        <v>64.585044018097477</v>
      </c>
      <c r="CZ103" s="117"/>
      <c r="DA103" s="84">
        <v>80838.306142473259</v>
      </c>
      <c r="DB103" s="82">
        <v>55.062429305903628</v>
      </c>
      <c r="DD103" s="42">
        <v>69743.336036391804</v>
      </c>
      <c r="DE103" s="39">
        <f t="shared" ref="DE103" si="77">+DD103/E103</f>
        <v>49.499651614348025</v>
      </c>
      <c r="DF103" s="55">
        <f>+DV103</f>
        <v>0.69247235611085711</v>
      </c>
      <c r="DH103" s="56">
        <v>1</v>
      </c>
      <c r="DI103" s="56">
        <v>5.9492781102388672E-3</v>
      </c>
      <c r="DK103" s="42">
        <f>+DL103*E103</f>
        <v>116803.29798000002</v>
      </c>
      <c r="DL103" s="39">
        <v>82.9</v>
      </c>
      <c r="DN103" s="41">
        <f>$P103</f>
        <v>8863.4262600000002</v>
      </c>
      <c r="DO103" s="41">
        <f>$U103</f>
        <v>2895.949161999999</v>
      </c>
      <c r="DQ103" s="39">
        <v>49.0762846187951</v>
      </c>
      <c r="DR103" s="39">
        <f>+CY103</f>
        <v>64.585044018097477</v>
      </c>
      <c r="DT103" s="87">
        <f>+DQ103/DL103</f>
        <v>0.59199378309764894</v>
      </c>
      <c r="DU103" s="87">
        <f>+DR103/CY103</f>
        <v>1</v>
      </c>
      <c r="DV103" s="88">
        <f>+SUMPRODUCT(DT103:DU103,DN103:DO103)/SUM(DN103:DO103)</f>
        <v>0.69247235611085711</v>
      </c>
      <c r="DX103" s="124">
        <v>661.95836299999996</v>
      </c>
      <c r="DY103" s="124">
        <v>165.02333099999996</v>
      </c>
      <c r="DZ103" s="124">
        <v>485.401005</v>
      </c>
      <c r="EA103" s="124">
        <v>829.62934000000064</v>
      </c>
      <c r="EB103" s="124">
        <v>1183.4106520000003</v>
      </c>
      <c r="EC103" s="124">
        <v>2106.6802439999992</v>
      </c>
      <c r="ED103" s="124">
        <v>131.42912899999999</v>
      </c>
      <c r="EE103" s="42">
        <f>+SUM(DX103:ED103)</f>
        <v>5563.532064</v>
      </c>
      <c r="EF103" s="124">
        <v>962.6743100000001</v>
      </c>
      <c r="EG103" s="124">
        <v>152.65445099999999</v>
      </c>
      <c r="EH103" s="124">
        <v>237.63893499999998</v>
      </c>
      <c r="EI103" s="42">
        <f>SUM(EF103:EH103)</f>
        <v>1352.9676960000002</v>
      </c>
      <c r="EJ103" s="124">
        <v>195.752184</v>
      </c>
      <c r="EK103" s="124">
        <v>4290.3223670000016</v>
      </c>
      <c r="EL103" s="124">
        <v>816.12340400000005</v>
      </c>
      <c r="EM103" s="124">
        <v>49.829228000000882</v>
      </c>
      <c r="EN103" s="42">
        <f>SUM(EJ103:EM103)</f>
        <v>5352.027183000002</v>
      </c>
      <c r="EO103" s="42">
        <f>EI103+EN103</f>
        <v>6704.9948790000017</v>
      </c>
      <c r="EP103" s="42">
        <f>EO103+EE103</f>
        <v>12268.526943000001</v>
      </c>
    </row>
    <row r="104" spans="1:146" x14ac:dyDescent="0.4">
      <c r="N104" s="45"/>
      <c r="O104" s="45"/>
      <c r="P104" s="45"/>
      <c r="Q104" s="45"/>
      <c r="R104" s="45"/>
      <c r="S104" s="45"/>
      <c r="T104" s="45"/>
      <c r="U104" s="45"/>
      <c r="V104" s="45"/>
      <c r="DZ104" s="116"/>
    </row>
    <row r="105" spans="1:146" x14ac:dyDescent="0.4">
      <c r="DY105" s="117"/>
      <c r="DZ105" s="116"/>
    </row>
    <row r="106" spans="1:146" x14ac:dyDescent="0.4">
      <c r="DZ106" s="116"/>
    </row>
    <row r="107" spans="1:146" x14ac:dyDescent="0.4">
      <c r="R107" s="118"/>
      <c r="DY107" s="117"/>
      <c r="DZ107" s="116"/>
    </row>
    <row r="108" spans="1:146" x14ac:dyDescent="0.4">
      <c r="DY108" s="117"/>
      <c r="DZ108" s="116"/>
    </row>
    <row r="109" spans="1:146" x14ac:dyDescent="0.4">
      <c r="DY109" s="117"/>
      <c r="DZ109" s="116"/>
    </row>
    <row r="110" spans="1:146" x14ac:dyDescent="0.4">
      <c r="DY110" s="117"/>
      <c r="DZ110" s="116"/>
    </row>
  </sheetData>
  <autoFilter ref="A5:CY103" xr:uid="{EFA5F86B-931D-4416-BCA3-19DF4755013F}"/>
  <mergeCells count="8">
    <mergeCell ref="DX3:EP3"/>
    <mergeCell ref="DQ3:DR3"/>
    <mergeCell ref="DT3:DU3"/>
    <mergeCell ref="AY3:AZ3"/>
    <mergeCell ref="CU3:CY3"/>
    <mergeCell ref="DK3:DL3"/>
    <mergeCell ref="DN3:DO3"/>
    <mergeCell ref="DH3:DI3"/>
  </mergeCells>
  <pageMargins left="0.7" right="0.7" top="0.75" bottom="0.75" header="0.3" footer="0.3"/>
  <pageSetup paperSize="9" orientation="portrait" r:id="rId1"/>
  <ignoredErrors>
    <ignoredError sqref="AN6:AN99 AN10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AC16-9B33-463A-A757-2BF492C2E258}">
  <dimension ref="A1:AM210"/>
  <sheetViews>
    <sheetView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88671875" defaultRowHeight="12.75" x14ac:dyDescent="0.2"/>
  <cols>
    <col min="1" max="1" width="50.5546875" style="113" customWidth="1"/>
    <col min="2" max="2" width="23.109375" style="113" bestFit="1" customWidth="1"/>
    <col min="3" max="25" width="12" style="113" bestFit="1" customWidth="1"/>
    <col min="26" max="26" width="9.33203125" style="113" bestFit="1" customWidth="1"/>
    <col min="27" max="27" width="9.6640625" style="113" bestFit="1" customWidth="1"/>
    <col min="28" max="36" width="9.33203125" style="113" bestFit="1" customWidth="1"/>
    <col min="37" max="37" width="9.33203125" style="113" customWidth="1"/>
    <col min="38" max="40" width="9.33203125" style="113" bestFit="1" customWidth="1"/>
    <col min="41" max="41" width="9.6640625" style="113" bestFit="1" customWidth="1"/>
    <col min="42" max="45" width="9.33203125" style="113" bestFit="1" customWidth="1"/>
    <col min="46" max="47" width="9.6640625" style="113" bestFit="1" customWidth="1"/>
    <col min="48" max="48" width="9.33203125" style="113" bestFit="1" customWidth="1"/>
    <col min="49" max="49" width="9.6640625" style="113" bestFit="1" customWidth="1"/>
    <col min="50" max="50" width="9.33203125" style="113" bestFit="1" customWidth="1"/>
    <col min="51" max="64" width="9.6640625" style="113" bestFit="1" customWidth="1"/>
    <col min="65" max="65" width="10.21875" style="113" bestFit="1" customWidth="1"/>
    <col min="66" max="66" width="12.77734375" style="113" bestFit="1" customWidth="1"/>
    <col min="67" max="67" width="10.21875" style="113" bestFit="1" customWidth="1"/>
    <col min="68" max="101" width="32.5546875" style="113" bestFit="1" customWidth="1"/>
    <col min="102" max="103" width="27" style="113" bestFit="1" customWidth="1"/>
    <col min="104" max="104" width="31.44140625" style="113" bestFit="1" customWidth="1"/>
    <col min="105" max="105" width="36.109375" style="113" bestFit="1" customWidth="1"/>
    <col min="106" max="153" width="32.5546875" style="113" bestFit="1" customWidth="1"/>
    <col min="154" max="155" width="27" style="113" bestFit="1" customWidth="1"/>
    <col min="156" max="156" width="31.44140625" style="113" bestFit="1" customWidth="1"/>
    <col min="157" max="157" width="36.109375" style="113" bestFit="1" customWidth="1"/>
    <col min="158" max="205" width="32.5546875" style="113" bestFit="1" customWidth="1"/>
    <col min="206" max="207" width="27" style="113" bestFit="1" customWidth="1"/>
    <col min="208" max="208" width="31.44140625" style="113" bestFit="1" customWidth="1"/>
    <col min="209" max="209" width="36.109375" style="113" bestFit="1" customWidth="1"/>
    <col min="210" max="245" width="32.5546875" style="113" bestFit="1" customWidth="1"/>
    <col min="246" max="247" width="27" style="113" bestFit="1" customWidth="1"/>
    <col min="248" max="248" width="31.44140625" style="113" bestFit="1" customWidth="1"/>
    <col min="249" max="249" width="36.109375" style="113" bestFit="1" customWidth="1"/>
    <col min="250" max="253" width="32.5546875" style="113" bestFit="1" customWidth="1"/>
    <col min="254" max="255" width="31.88671875" style="113" bestFit="1" customWidth="1"/>
    <col min="256" max="256" width="36.33203125" style="113" bestFit="1" customWidth="1"/>
    <col min="257" max="257" width="41.109375" style="113" bestFit="1" customWidth="1"/>
    <col min="258" max="259" width="27.44140625" style="113" bestFit="1" customWidth="1"/>
    <col min="260" max="260" width="31.88671875" style="113" bestFit="1" customWidth="1"/>
    <col min="261" max="261" width="36.6640625" style="113" bestFit="1" customWidth="1"/>
    <col min="262" max="16384" width="8.88671875" style="113"/>
  </cols>
  <sheetData>
    <row r="1" spans="1:39" s="90" customFormat="1" ht="24.75" thickBot="1" x14ac:dyDescent="0.45">
      <c r="A1" s="115" t="s">
        <v>182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</row>
    <row r="2" spans="1:39" s="90" customFormat="1" ht="15.75" thickTop="1" x14ac:dyDescent="0.25">
      <c r="A2" s="91" t="s">
        <v>159</v>
      </c>
    </row>
    <row r="3" spans="1:39" s="90" customFormat="1" ht="15" x14ac:dyDescent="0.25">
      <c r="B3" s="92">
        <f>YEAR(B4)</f>
        <v>2023</v>
      </c>
      <c r="C3" s="92">
        <f t="shared" ref="C3:AM3" si="0">YEAR(C4)</f>
        <v>2023</v>
      </c>
      <c r="D3" s="92">
        <f t="shared" si="0"/>
        <v>2023</v>
      </c>
      <c r="E3" s="92">
        <f t="shared" si="0"/>
        <v>2023</v>
      </c>
      <c r="F3" s="92">
        <f t="shared" si="0"/>
        <v>2023</v>
      </c>
      <c r="G3" s="92">
        <f t="shared" si="0"/>
        <v>2023</v>
      </c>
      <c r="H3" s="92">
        <f t="shared" si="0"/>
        <v>2023</v>
      </c>
      <c r="I3" s="92">
        <f t="shared" si="0"/>
        <v>2023</v>
      </c>
      <c r="J3" s="92">
        <f t="shared" si="0"/>
        <v>2023</v>
      </c>
      <c r="K3" s="92">
        <f t="shared" si="0"/>
        <v>2023</v>
      </c>
      <c r="L3" s="92">
        <f t="shared" si="0"/>
        <v>2023</v>
      </c>
      <c r="M3" s="92">
        <f t="shared" si="0"/>
        <v>2023</v>
      </c>
      <c r="N3" s="92">
        <f t="shared" si="0"/>
        <v>2024</v>
      </c>
      <c r="O3" s="92">
        <f t="shared" si="0"/>
        <v>2024</v>
      </c>
      <c r="P3" s="92">
        <f t="shared" si="0"/>
        <v>2024</v>
      </c>
      <c r="Q3" s="92">
        <f t="shared" si="0"/>
        <v>2024</v>
      </c>
      <c r="R3" s="92">
        <f t="shared" si="0"/>
        <v>2024</v>
      </c>
      <c r="S3" s="92">
        <f t="shared" si="0"/>
        <v>2024</v>
      </c>
      <c r="T3" s="92">
        <f t="shared" si="0"/>
        <v>2024</v>
      </c>
      <c r="U3" s="92">
        <f t="shared" si="0"/>
        <v>2024</v>
      </c>
      <c r="V3" s="92">
        <f t="shared" si="0"/>
        <v>2024</v>
      </c>
      <c r="W3" s="92">
        <f t="shared" si="0"/>
        <v>2024</v>
      </c>
      <c r="X3" s="92">
        <f t="shared" si="0"/>
        <v>2024</v>
      </c>
      <c r="Y3" s="92">
        <f t="shared" si="0"/>
        <v>2024</v>
      </c>
      <c r="Z3" s="92">
        <f t="shared" si="0"/>
        <v>2025</v>
      </c>
      <c r="AA3" s="92">
        <f t="shared" si="0"/>
        <v>2025</v>
      </c>
      <c r="AB3" s="92">
        <f t="shared" si="0"/>
        <v>2025</v>
      </c>
      <c r="AC3" s="92">
        <f t="shared" si="0"/>
        <v>2025</v>
      </c>
      <c r="AD3" s="92">
        <f t="shared" si="0"/>
        <v>2025</v>
      </c>
      <c r="AE3" s="92">
        <f t="shared" si="0"/>
        <v>2025</v>
      </c>
      <c r="AF3" s="92">
        <f t="shared" si="0"/>
        <v>2025</v>
      </c>
      <c r="AG3" s="92">
        <f t="shared" si="0"/>
        <v>2025</v>
      </c>
      <c r="AH3" s="92">
        <f t="shared" si="0"/>
        <v>2025</v>
      </c>
      <c r="AI3" s="92">
        <f t="shared" si="0"/>
        <v>2025</v>
      </c>
      <c r="AJ3" s="92">
        <f t="shared" si="0"/>
        <v>2025</v>
      </c>
      <c r="AK3" s="92">
        <v>2025</v>
      </c>
      <c r="AL3" s="92">
        <f t="shared" si="0"/>
        <v>2026</v>
      </c>
      <c r="AM3" s="92">
        <f t="shared" si="0"/>
        <v>2026</v>
      </c>
    </row>
    <row r="4" spans="1:39" s="90" customFormat="1" ht="15" x14ac:dyDescent="0.25">
      <c r="A4" s="93" t="s">
        <v>160</v>
      </c>
      <c r="B4" s="94">
        <v>44927</v>
      </c>
      <c r="C4" s="94">
        <v>44958</v>
      </c>
      <c r="D4" s="94">
        <v>44986</v>
      </c>
      <c r="E4" s="94">
        <v>45017</v>
      </c>
      <c r="F4" s="94">
        <v>45047</v>
      </c>
      <c r="G4" s="94">
        <v>45078</v>
      </c>
      <c r="H4" s="94">
        <v>45108</v>
      </c>
      <c r="I4" s="94">
        <v>45139</v>
      </c>
      <c r="J4" s="94">
        <v>45170</v>
      </c>
      <c r="K4" s="94">
        <v>45200</v>
      </c>
      <c r="L4" s="94">
        <v>45231</v>
      </c>
      <c r="M4" s="94">
        <v>45261</v>
      </c>
      <c r="N4" s="94">
        <v>45292</v>
      </c>
      <c r="O4" s="94">
        <v>45323</v>
      </c>
      <c r="P4" s="94">
        <v>45352</v>
      </c>
      <c r="Q4" s="94">
        <v>45383</v>
      </c>
      <c r="R4" s="94">
        <v>45413</v>
      </c>
      <c r="S4" s="94">
        <v>45444</v>
      </c>
      <c r="T4" s="94">
        <v>45474</v>
      </c>
      <c r="U4" s="94">
        <v>45505</v>
      </c>
      <c r="V4" s="94">
        <v>45536</v>
      </c>
      <c r="W4" s="94">
        <v>45566</v>
      </c>
      <c r="X4" s="94">
        <v>45597</v>
      </c>
      <c r="Y4" s="94">
        <v>45627</v>
      </c>
      <c r="Z4" s="94">
        <v>45658</v>
      </c>
      <c r="AA4" s="94">
        <v>45689</v>
      </c>
      <c r="AB4" s="94">
        <v>45717</v>
      </c>
      <c r="AC4" s="94">
        <v>45748</v>
      </c>
      <c r="AD4" s="94">
        <v>45778</v>
      </c>
      <c r="AE4" s="94">
        <v>45809</v>
      </c>
      <c r="AF4" s="94">
        <v>45839</v>
      </c>
      <c r="AG4" s="94">
        <v>45870</v>
      </c>
      <c r="AH4" s="94">
        <v>45901</v>
      </c>
      <c r="AI4" s="94">
        <v>45931</v>
      </c>
      <c r="AJ4" s="94">
        <v>45962</v>
      </c>
      <c r="AK4" s="94">
        <v>45992</v>
      </c>
      <c r="AL4" s="94">
        <v>46023</v>
      </c>
      <c r="AM4" s="94">
        <v>46054</v>
      </c>
    </row>
    <row r="5" spans="1:39" s="90" customFormat="1" ht="15" x14ac:dyDescent="0.25">
      <c r="A5" s="95" t="s">
        <v>161</v>
      </c>
      <c r="B5" s="96">
        <v>1605.1623000000002</v>
      </c>
      <c r="C5" s="96">
        <v>1385.3058320000005</v>
      </c>
      <c r="D5" s="96">
        <v>1638.7028359999999</v>
      </c>
      <c r="E5" s="96">
        <v>1063.7751640000001</v>
      </c>
      <c r="F5" s="96">
        <v>1157.2387650000001</v>
      </c>
      <c r="G5" s="96">
        <v>1256.2994720000002</v>
      </c>
      <c r="H5" s="96">
        <v>1336.2810799999997</v>
      </c>
      <c r="I5" s="96">
        <v>1225.0010289999998</v>
      </c>
      <c r="J5" s="96">
        <v>1089.1838480000004</v>
      </c>
      <c r="K5" s="96">
        <v>999.75278299999968</v>
      </c>
      <c r="L5" s="96">
        <v>1059.184321</v>
      </c>
      <c r="M5" s="96">
        <v>1172.0210380000001</v>
      </c>
      <c r="N5" s="96">
        <v>1465.3461459999999</v>
      </c>
      <c r="O5" s="96">
        <v>1441.138015</v>
      </c>
      <c r="P5" s="96">
        <v>1304.6999530000003</v>
      </c>
      <c r="Q5" s="96">
        <v>1059.5886139999998</v>
      </c>
      <c r="R5" s="96">
        <v>1285.906774</v>
      </c>
      <c r="S5" s="96">
        <v>1155.9668429999999</v>
      </c>
      <c r="T5" s="96">
        <v>1327.6899369999999</v>
      </c>
      <c r="U5" s="96">
        <v>1213.7524570000005</v>
      </c>
      <c r="V5" s="96">
        <v>1005.2330790000001</v>
      </c>
      <c r="W5" s="96">
        <v>1159.4936580000003</v>
      </c>
      <c r="X5" s="96">
        <v>1301.4463700000001</v>
      </c>
      <c r="Y5" s="96">
        <v>1462.1437380000002</v>
      </c>
      <c r="Z5" s="96">
        <v>1882.4629860000002</v>
      </c>
      <c r="AA5" s="96">
        <v>1811.3603479999999</v>
      </c>
      <c r="AB5" s="96">
        <v>1645.7388739999997</v>
      </c>
      <c r="AC5" s="96">
        <v>1295.1357829999997</v>
      </c>
      <c r="AD5" s="96">
        <v>1445.5086400000007</v>
      </c>
      <c r="AE5" s="96">
        <v>1715.0998860000004</v>
      </c>
      <c r="AF5" s="96">
        <v>1757.0957639999999</v>
      </c>
      <c r="AG5" s="96">
        <v>1608.824134</v>
      </c>
      <c r="AH5" s="96">
        <v>1432.1366940000003</v>
      </c>
      <c r="AI5" s="96">
        <v>1381.0665419999998</v>
      </c>
      <c r="AJ5" s="96">
        <v>1435.2342679999999</v>
      </c>
      <c r="AK5" s="96">
        <v>1934.7552049999995</v>
      </c>
      <c r="AL5" s="96">
        <v>1010.708522</v>
      </c>
      <c r="AM5" s="96">
        <v>0</v>
      </c>
    </row>
    <row r="6" spans="1:39" s="90" customFormat="1" ht="15" x14ac:dyDescent="0.25">
      <c r="A6" s="95" t="s">
        <v>162</v>
      </c>
      <c r="B6" s="127">
        <v>4054.4097979999997</v>
      </c>
      <c r="C6" s="131">
        <v>3256.8469550000004</v>
      </c>
      <c r="D6" s="131">
        <v>4083.9485669999995</v>
      </c>
      <c r="E6" s="131">
        <v>2119.0796989999999</v>
      </c>
      <c r="F6" s="131">
        <v>2671.5045680000003</v>
      </c>
      <c r="G6" s="136">
        <v>3674.9550469999999</v>
      </c>
      <c r="H6" s="127">
        <v>3972.6254710000003</v>
      </c>
      <c r="I6" s="131">
        <v>3382.9848109999994</v>
      </c>
      <c r="J6" s="131">
        <v>3002.5308350000018</v>
      </c>
      <c r="K6" s="131">
        <v>2649.2141280000001</v>
      </c>
      <c r="L6" s="131">
        <v>3011.4908710000009</v>
      </c>
      <c r="M6" s="131">
        <v>3405.7945479999985</v>
      </c>
      <c r="N6" s="136">
        <v>3922.8287869999999</v>
      </c>
      <c r="O6" s="127">
        <v>3833.5448650000012</v>
      </c>
      <c r="P6" s="131">
        <v>3202.1533949999994</v>
      </c>
      <c r="Q6" s="131">
        <v>2417.453994</v>
      </c>
      <c r="R6" s="131">
        <v>3856.5176640000004</v>
      </c>
      <c r="S6" s="96">
        <v>2859.0159569999992</v>
      </c>
      <c r="T6" s="96">
        <v>3781.6955990000006</v>
      </c>
      <c r="U6" s="96">
        <v>3117.0360729999993</v>
      </c>
      <c r="V6" s="96">
        <v>2183.1781700000001</v>
      </c>
      <c r="W6" s="96">
        <v>2277.3362789999996</v>
      </c>
      <c r="X6" s="96">
        <v>2352.639557</v>
      </c>
      <c r="Y6" s="96">
        <v>2387.5050419999989</v>
      </c>
      <c r="Z6" s="96">
        <v>3098.9150509999995</v>
      </c>
      <c r="AA6" s="96">
        <v>2650.0542390000001</v>
      </c>
      <c r="AB6" s="96">
        <v>2100.5495080000001</v>
      </c>
      <c r="AC6" s="96">
        <v>1659.6119990000002</v>
      </c>
      <c r="AD6" s="96">
        <v>2233.0137410000002</v>
      </c>
      <c r="AE6" s="96">
        <v>3364.2343860000001</v>
      </c>
      <c r="AF6" s="96">
        <v>3217.1843119999999</v>
      </c>
      <c r="AG6" s="96">
        <v>2589.5748049999993</v>
      </c>
      <c r="AH6" s="96">
        <v>2007.990311</v>
      </c>
      <c r="AI6" s="96">
        <v>1981.2809490000004</v>
      </c>
      <c r="AJ6" s="96">
        <v>2091.0559279999998</v>
      </c>
      <c r="AK6" s="96">
        <v>3047.9617930000004</v>
      </c>
      <c r="AL6" s="96">
        <v>1467.7003030000001</v>
      </c>
      <c r="AM6" s="96">
        <v>0</v>
      </c>
    </row>
    <row r="7" spans="1:39" s="90" customFormat="1" ht="15" x14ac:dyDescent="0.25">
      <c r="A7" s="95" t="s">
        <v>163</v>
      </c>
      <c r="B7" s="128"/>
      <c r="C7" s="132"/>
      <c r="D7" s="132"/>
      <c r="E7" s="132"/>
      <c r="F7" s="132"/>
      <c r="G7" s="137"/>
      <c r="H7" s="128"/>
      <c r="I7" s="132"/>
      <c r="J7" s="132"/>
      <c r="K7" s="132"/>
      <c r="L7" s="132"/>
      <c r="M7" s="132"/>
      <c r="N7" s="137"/>
      <c r="O7" s="128"/>
      <c r="P7" s="132"/>
      <c r="Q7" s="132"/>
      <c r="R7" s="132"/>
      <c r="S7" s="96">
        <v>506.92185599999993</v>
      </c>
      <c r="T7" s="96">
        <v>798.83600599999977</v>
      </c>
      <c r="U7" s="96">
        <v>664.09703100000002</v>
      </c>
      <c r="V7" s="96">
        <v>400.21461299999993</v>
      </c>
      <c r="W7" s="96">
        <v>363.97874400000012</v>
      </c>
      <c r="X7" s="96">
        <v>370.02052999999995</v>
      </c>
      <c r="Y7" s="96">
        <v>414.93981500000001</v>
      </c>
      <c r="Z7" s="96">
        <v>656.10098199999993</v>
      </c>
      <c r="AA7" s="96">
        <v>656.4742940000001</v>
      </c>
      <c r="AB7" s="96">
        <v>509.91116499999993</v>
      </c>
      <c r="AC7" s="96">
        <v>284.21353700000003</v>
      </c>
      <c r="AD7" s="96">
        <v>366.54086100000006</v>
      </c>
      <c r="AE7" s="96">
        <v>510.42278399999992</v>
      </c>
      <c r="AF7" s="96">
        <v>553.73847499999988</v>
      </c>
      <c r="AG7" s="96">
        <v>438.98588800000005</v>
      </c>
      <c r="AH7" s="96">
        <v>341.69292900000005</v>
      </c>
      <c r="AI7" s="96">
        <v>301.81817800000005</v>
      </c>
      <c r="AJ7" s="96">
        <v>304.92373699999996</v>
      </c>
      <c r="AK7" s="96">
        <v>486.96731300000016</v>
      </c>
      <c r="AL7" s="96">
        <v>342.55660399999999</v>
      </c>
      <c r="AM7" s="96">
        <v>0</v>
      </c>
    </row>
    <row r="8" spans="1:39" s="90" customFormat="1" ht="15" x14ac:dyDescent="0.25">
      <c r="A8" s="95" t="s">
        <v>164</v>
      </c>
      <c r="B8" s="97">
        <v>920.1849709999999</v>
      </c>
      <c r="C8" s="97">
        <v>832.25263299999983</v>
      </c>
      <c r="D8" s="97">
        <v>918.43644100000029</v>
      </c>
      <c r="E8" s="97">
        <v>682.89717500000006</v>
      </c>
      <c r="F8" s="97">
        <v>713.68867699999987</v>
      </c>
      <c r="G8" s="97">
        <v>749.03181700000016</v>
      </c>
      <c r="H8" s="97">
        <v>784.96530300000006</v>
      </c>
      <c r="I8" s="97">
        <v>736.4868919999999</v>
      </c>
      <c r="J8" s="97">
        <v>676.18008299999963</v>
      </c>
      <c r="K8" s="97">
        <v>654.46665099999962</v>
      </c>
      <c r="L8" s="97">
        <v>681.98444700000039</v>
      </c>
      <c r="M8" s="97">
        <v>768.53720200000009</v>
      </c>
      <c r="N8" s="96">
        <v>884.87114899999983</v>
      </c>
      <c r="O8" s="96">
        <v>862.30850700000008</v>
      </c>
      <c r="P8" s="96">
        <v>782.73776499999997</v>
      </c>
      <c r="Q8" s="96">
        <v>651.53447700000004</v>
      </c>
      <c r="R8" s="96">
        <v>740.89053499999989</v>
      </c>
      <c r="S8" s="96">
        <v>595.56275800000014</v>
      </c>
      <c r="T8" s="96">
        <v>631.12203499999987</v>
      </c>
      <c r="U8" s="96">
        <v>602.48083800000006</v>
      </c>
      <c r="V8" s="96">
        <v>520.17541900000003</v>
      </c>
      <c r="W8" s="96">
        <v>548.4033740000001</v>
      </c>
      <c r="X8" s="96">
        <v>556.38351100000023</v>
      </c>
      <c r="Y8" s="96">
        <v>626.14918300000022</v>
      </c>
      <c r="Z8" s="96">
        <v>717.95397300000013</v>
      </c>
      <c r="AA8" s="96">
        <v>670.45815600000014</v>
      </c>
      <c r="AB8" s="96">
        <v>627.92813200000001</v>
      </c>
      <c r="AC8" s="96">
        <v>538.92760400000009</v>
      </c>
      <c r="AD8" s="96">
        <v>620.0374589999999</v>
      </c>
      <c r="AE8" s="96">
        <v>662.52746399999978</v>
      </c>
      <c r="AF8" s="96">
        <v>676.34426499999995</v>
      </c>
      <c r="AG8" s="96">
        <v>645.63469300000008</v>
      </c>
      <c r="AH8" s="96">
        <v>591.98086899999987</v>
      </c>
      <c r="AI8" s="96">
        <v>583.35729299999991</v>
      </c>
      <c r="AJ8" s="96">
        <v>608.03849000000002</v>
      </c>
      <c r="AK8" s="96">
        <v>725.74401299999988</v>
      </c>
      <c r="AL8" s="96">
        <v>367.17484700000006</v>
      </c>
      <c r="AM8" s="96">
        <v>0</v>
      </c>
    </row>
    <row r="9" spans="1:39" s="90" customFormat="1" ht="15" x14ac:dyDescent="0.25">
      <c r="A9" s="95" t="s">
        <v>165</v>
      </c>
      <c r="B9" s="97">
        <v>227.64921500000003</v>
      </c>
      <c r="C9" s="97">
        <v>200.66637399999999</v>
      </c>
      <c r="D9" s="97">
        <v>275.29224499999998</v>
      </c>
      <c r="E9" s="97">
        <v>112.35576999999999</v>
      </c>
      <c r="F9" s="97">
        <v>105.44471999999998</v>
      </c>
      <c r="G9" s="97">
        <v>143.27801399999998</v>
      </c>
      <c r="H9" s="97">
        <v>168.73686699999996</v>
      </c>
      <c r="I9" s="97">
        <v>143.579643</v>
      </c>
      <c r="J9" s="97">
        <v>114.51447500000002</v>
      </c>
      <c r="K9" s="97">
        <v>83.188438999999988</v>
      </c>
      <c r="L9" s="97">
        <v>97.01500200000001</v>
      </c>
      <c r="M9" s="97">
        <v>102.811733</v>
      </c>
      <c r="N9" s="96">
        <v>168.38543899999999</v>
      </c>
      <c r="O9" s="96">
        <v>188.097488</v>
      </c>
      <c r="P9" s="96">
        <v>183.78010400000002</v>
      </c>
      <c r="Q9" s="96">
        <v>115.13280299999998</v>
      </c>
      <c r="R9" s="96">
        <v>146.134659</v>
      </c>
      <c r="S9" s="96">
        <v>215.94863000000007</v>
      </c>
      <c r="T9" s="96">
        <v>337.17458500000009</v>
      </c>
      <c r="U9" s="96">
        <v>289.04799800000001</v>
      </c>
      <c r="V9" s="96">
        <v>198.87796099999994</v>
      </c>
      <c r="W9" s="96">
        <v>187.71169500000002</v>
      </c>
      <c r="X9" s="96">
        <v>205.191226</v>
      </c>
      <c r="Y9" s="96">
        <v>270.98256900000001</v>
      </c>
      <c r="Z9" s="96">
        <v>463.34574299999997</v>
      </c>
      <c r="AA9" s="96">
        <v>456.99863900000014</v>
      </c>
      <c r="AB9" s="96">
        <v>385.67627299999998</v>
      </c>
      <c r="AC9" s="96">
        <v>220.70860999999999</v>
      </c>
      <c r="AD9" s="96">
        <v>246.11482699999999</v>
      </c>
      <c r="AE9" s="96">
        <v>328.21856899999995</v>
      </c>
      <c r="AF9" s="96">
        <v>360.706278</v>
      </c>
      <c r="AG9" s="96">
        <v>299.99453700000015</v>
      </c>
      <c r="AH9" s="96">
        <v>235.47676700000002</v>
      </c>
      <c r="AI9" s="96">
        <v>206.88965900000005</v>
      </c>
      <c r="AJ9" s="96">
        <v>209.16184800000005</v>
      </c>
      <c r="AK9" s="96">
        <v>371.47626699999995</v>
      </c>
      <c r="AL9" s="96">
        <v>213.06271000000004</v>
      </c>
      <c r="AM9" s="96">
        <v>0</v>
      </c>
    </row>
    <row r="10" spans="1:39" s="90" customFormat="1" ht="15" x14ac:dyDescent="0.25">
      <c r="A10" s="95" t="s">
        <v>166</v>
      </c>
      <c r="B10" s="97">
        <v>10.002800000000002</v>
      </c>
      <c r="C10" s="97">
        <v>9.4911209999999997</v>
      </c>
      <c r="D10" s="97">
        <v>10.996262999999997</v>
      </c>
      <c r="E10" s="97">
        <v>7.8464700000000009</v>
      </c>
      <c r="F10" s="97">
        <v>8.5064240000000009</v>
      </c>
      <c r="G10" s="97">
        <v>12.210043000000002</v>
      </c>
      <c r="H10" s="97">
        <v>14.552798000000003</v>
      </c>
      <c r="I10" s="97">
        <v>13.869389</v>
      </c>
      <c r="J10" s="97">
        <v>11.915385000000013</v>
      </c>
      <c r="K10" s="97">
        <v>9.624595999999995</v>
      </c>
      <c r="L10" s="97">
        <v>9.2358129999999985</v>
      </c>
      <c r="M10" s="97">
        <v>17.484476000000001</v>
      </c>
      <c r="N10" s="96">
        <v>18.733722</v>
      </c>
      <c r="O10" s="96">
        <v>18.046778000000007</v>
      </c>
      <c r="P10" s="96">
        <v>11.238441000000005</v>
      </c>
      <c r="Q10" s="96">
        <v>9.3107820000000032</v>
      </c>
      <c r="R10" s="96">
        <v>12.065422</v>
      </c>
      <c r="S10" s="96">
        <v>12.101374999999997</v>
      </c>
      <c r="T10" s="96">
        <v>14.884427000000004</v>
      </c>
      <c r="U10" s="96">
        <v>14.568653000000001</v>
      </c>
      <c r="V10" s="96">
        <v>12.907309999999997</v>
      </c>
      <c r="W10" s="96">
        <v>11.794640000000001</v>
      </c>
      <c r="X10" s="96">
        <v>10.763573000000003</v>
      </c>
      <c r="Y10" s="96">
        <v>10.706873999999999</v>
      </c>
      <c r="Z10" s="96">
        <v>12.747724000000002</v>
      </c>
      <c r="AA10" s="96">
        <v>12.752452999999999</v>
      </c>
      <c r="AB10" s="96">
        <v>11.891406000000003</v>
      </c>
      <c r="AC10" s="96">
        <v>9.7011740000000035</v>
      </c>
      <c r="AD10" s="96">
        <v>10.128015000000003</v>
      </c>
      <c r="AE10" s="96">
        <v>12.172935000000001</v>
      </c>
      <c r="AF10" s="96">
        <v>14.263698</v>
      </c>
      <c r="AG10" s="96">
        <v>13.593463000000002</v>
      </c>
      <c r="AH10" s="96">
        <v>11.085982</v>
      </c>
      <c r="AI10" s="96">
        <v>10.164602</v>
      </c>
      <c r="AJ10" s="96">
        <v>12.204036</v>
      </c>
      <c r="AK10" s="96">
        <v>10.879918999999999</v>
      </c>
      <c r="AL10" s="96">
        <v>17.331096000000006</v>
      </c>
      <c r="AM10" s="96">
        <v>10.769767</v>
      </c>
    </row>
    <row r="11" spans="1:39" s="90" customFormat="1" ht="15" x14ac:dyDescent="0.25">
      <c r="A11" s="95" t="s">
        <v>183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96">
        <v>1634.5051780000001</v>
      </c>
      <c r="AM11" s="96">
        <v>2872.0566150000004</v>
      </c>
    </row>
    <row r="12" spans="1:39" s="90" customFormat="1" ht="15" x14ac:dyDescent="0.25">
      <c r="A12" s="95" t="s">
        <v>184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96">
        <v>401.22277700000006</v>
      </c>
      <c r="AM12" s="96">
        <v>735.45572900000025</v>
      </c>
    </row>
    <row r="13" spans="1:39" s="90" customFormat="1" ht="15" x14ac:dyDescent="0.25">
      <c r="A13" s="95" t="s">
        <v>185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96">
        <v>1056.237202</v>
      </c>
      <c r="AM13" s="96">
        <v>1941.2377530000001</v>
      </c>
    </row>
    <row r="14" spans="1:39" s="90" customFormat="1" ht="15" x14ac:dyDescent="0.25">
      <c r="A14" s="98" t="s">
        <v>186</v>
      </c>
      <c r="B14" s="99">
        <f t="shared" ref="B14:N14" si="1">+B6+B8</f>
        <v>4974.5947689999994</v>
      </c>
      <c r="C14" s="99">
        <f t="shared" si="1"/>
        <v>4089.099588</v>
      </c>
      <c r="D14" s="99">
        <f t="shared" si="1"/>
        <v>5002.3850079999993</v>
      </c>
      <c r="E14" s="99">
        <f t="shared" si="1"/>
        <v>2801.976874</v>
      </c>
      <c r="F14" s="99">
        <f t="shared" si="1"/>
        <v>3385.1932450000004</v>
      </c>
      <c r="G14" s="99">
        <f t="shared" si="1"/>
        <v>4423.9868640000004</v>
      </c>
      <c r="H14" s="99">
        <f t="shared" si="1"/>
        <v>4757.5907740000002</v>
      </c>
      <c r="I14" s="99">
        <f t="shared" si="1"/>
        <v>4119.4717029999993</v>
      </c>
      <c r="J14" s="99">
        <f t="shared" si="1"/>
        <v>3678.7109180000016</v>
      </c>
      <c r="K14" s="99">
        <f t="shared" si="1"/>
        <v>3303.6807789999998</v>
      </c>
      <c r="L14" s="99">
        <f t="shared" si="1"/>
        <v>3693.4753180000012</v>
      </c>
      <c r="M14" s="99">
        <f t="shared" si="1"/>
        <v>4174.3317499999985</v>
      </c>
      <c r="N14" s="99">
        <f t="shared" si="1"/>
        <v>4807.699936</v>
      </c>
      <c r="O14" s="99">
        <f t="shared" ref="O14:R14" si="2">+O6+O8</f>
        <v>4695.8533720000014</v>
      </c>
      <c r="P14" s="99">
        <f t="shared" si="2"/>
        <v>3984.8911599999992</v>
      </c>
      <c r="Q14" s="99">
        <f t="shared" si="2"/>
        <v>3068.9884710000001</v>
      </c>
      <c r="R14" s="99">
        <f t="shared" si="2"/>
        <v>4597.4081990000004</v>
      </c>
      <c r="S14" s="99">
        <f>+S6+S8+S11</f>
        <v>3454.5787149999992</v>
      </c>
      <c r="T14" s="99">
        <f>+T6+T8+T11</f>
        <v>4412.8176340000009</v>
      </c>
      <c r="U14" s="99">
        <f>+U6+U8+U11</f>
        <v>3719.5169109999993</v>
      </c>
      <c r="V14" s="99">
        <f>+V6+V8+V11</f>
        <v>2703.3535890000003</v>
      </c>
      <c r="W14" s="99">
        <f t="shared" ref="W14:AL14" si="3">+W6+W8+W11</f>
        <v>2825.7396529999996</v>
      </c>
      <c r="X14" s="99">
        <f t="shared" si="3"/>
        <v>2909.0230680000004</v>
      </c>
      <c r="Y14" s="99">
        <f t="shared" si="3"/>
        <v>3013.6542249999993</v>
      </c>
      <c r="Z14" s="99">
        <f t="shared" si="3"/>
        <v>3816.8690239999996</v>
      </c>
      <c r="AA14" s="99">
        <f t="shared" si="3"/>
        <v>3320.5123950000002</v>
      </c>
      <c r="AB14" s="99">
        <f t="shared" si="3"/>
        <v>2728.4776400000001</v>
      </c>
      <c r="AC14" s="99">
        <f t="shared" si="3"/>
        <v>2198.5396030000002</v>
      </c>
      <c r="AD14" s="99">
        <f t="shared" si="3"/>
        <v>2853.0511999999999</v>
      </c>
      <c r="AE14" s="99">
        <f t="shared" si="3"/>
        <v>4026.7618499999999</v>
      </c>
      <c r="AF14" s="99">
        <f t="shared" si="3"/>
        <v>3893.528577</v>
      </c>
      <c r="AG14" s="99">
        <f t="shared" si="3"/>
        <v>3235.2094979999993</v>
      </c>
      <c r="AH14" s="99">
        <f t="shared" si="3"/>
        <v>2599.97118</v>
      </c>
      <c r="AI14" s="99">
        <f t="shared" si="3"/>
        <v>2564.6382420000004</v>
      </c>
      <c r="AJ14" s="99">
        <f t="shared" si="3"/>
        <v>2699.0944179999997</v>
      </c>
      <c r="AK14" s="99">
        <f t="shared" si="3"/>
        <v>3773.7058060000004</v>
      </c>
      <c r="AL14" s="99">
        <f t="shared" si="3"/>
        <v>3469.3803280000002</v>
      </c>
      <c r="AM14" s="99">
        <f t="shared" ref="AM14" si="4">+AM6+AM8+AM11</f>
        <v>2872.0566150000004</v>
      </c>
    </row>
    <row r="15" spans="1:39" s="90" customFormat="1" ht="15" x14ac:dyDescent="0.25">
      <c r="A15" s="98" t="s">
        <v>187</v>
      </c>
      <c r="B15" s="120">
        <f t="shared" ref="B15:N15" si="5">+B9</f>
        <v>227.64921500000003</v>
      </c>
      <c r="C15" s="120">
        <f t="shared" si="5"/>
        <v>200.66637399999999</v>
      </c>
      <c r="D15" s="120">
        <f t="shared" si="5"/>
        <v>275.29224499999998</v>
      </c>
      <c r="E15" s="120">
        <f t="shared" si="5"/>
        <v>112.35576999999999</v>
      </c>
      <c r="F15" s="120">
        <f t="shared" si="5"/>
        <v>105.44471999999998</v>
      </c>
      <c r="G15" s="120">
        <f t="shared" si="5"/>
        <v>143.27801399999998</v>
      </c>
      <c r="H15" s="120">
        <f t="shared" si="5"/>
        <v>168.73686699999996</v>
      </c>
      <c r="I15" s="120">
        <f t="shared" si="5"/>
        <v>143.579643</v>
      </c>
      <c r="J15" s="120">
        <f t="shared" si="5"/>
        <v>114.51447500000002</v>
      </c>
      <c r="K15" s="120">
        <f t="shared" si="5"/>
        <v>83.188438999999988</v>
      </c>
      <c r="L15" s="120">
        <f t="shared" si="5"/>
        <v>97.01500200000001</v>
      </c>
      <c r="M15" s="120">
        <f t="shared" si="5"/>
        <v>102.811733</v>
      </c>
      <c r="N15" s="120">
        <f t="shared" si="5"/>
        <v>168.38543899999999</v>
      </c>
      <c r="O15" s="120">
        <f t="shared" ref="O15:R15" si="6">+O9</f>
        <v>188.097488</v>
      </c>
      <c r="P15" s="120">
        <f t="shared" si="6"/>
        <v>183.78010400000002</v>
      </c>
      <c r="Q15" s="120">
        <f t="shared" si="6"/>
        <v>115.13280299999998</v>
      </c>
      <c r="R15" s="120">
        <f t="shared" si="6"/>
        <v>146.134659</v>
      </c>
      <c r="S15" s="120">
        <f>+S9+S7+S12</f>
        <v>722.87048600000003</v>
      </c>
      <c r="T15" s="120">
        <f>+T9+T7+T12</f>
        <v>1136.0105909999997</v>
      </c>
      <c r="U15" s="120">
        <f>+U9+U7+U12</f>
        <v>953.14502900000002</v>
      </c>
      <c r="V15" s="120">
        <f t="shared" ref="V15:AL15" si="7">+V9+V7+V12</f>
        <v>599.0925739999999</v>
      </c>
      <c r="W15" s="120">
        <f t="shared" si="7"/>
        <v>551.6904390000002</v>
      </c>
      <c r="X15" s="120">
        <f t="shared" si="7"/>
        <v>575.21175599999992</v>
      </c>
      <c r="Y15" s="120">
        <f t="shared" si="7"/>
        <v>685.92238399999997</v>
      </c>
      <c r="Z15" s="120">
        <f t="shared" si="7"/>
        <v>1119.4467249999998</v>
      </c>
      <c r="AA15" s="120">
        <f t="shared" si="7"/>
        <v>1113.4729330000002</v>
      </c>
      <c r="AB15" s="120">
        <f t="shared" si="7"/>
        <v>895.58743799999991</v>
      </c>
      <c r="AC15" s="120">
        <f t="shared" si="7"/>
        <v>504.922147</v>
      </c>
      <c r="AD15" s="120">
        <f t="shared" si="7"/>
        <v>612.65568800000005</v>
      </c>
      <c r="AE15" s="120">
        <f t="shared" si="7"/>
        <v>838.64135299999987</v>
      </c>
      <c r="AF15" s="120">
        <f t="shared" si="7"/>
        <v>914.44475299999988</v>
      </c>
      <c r="AG15" s="120">
        <f t="shared" si="7"/>
        <v>738.9804250000002</v>
      </c>
      <c r="AH15" s="120">
        <f t="shared" si="7"/>
        <v>577.16969600000004</v>
      </c>
      <c r="AI15" s="120">
        <f t="shared" si="7"/>
        <v>508.7078370000001</v>
      </c>
      <c r="AJ15" s="120">
        <f t="shared" si="7"/>
        <v>514.08558500000004</v>
      </c>
      <c r="AK15" s="120">
        <f t="shared" si="7"/>
        <v>858.44358000000011</v>
      </c>
      <c r="AL15" s="120">
        <f t="shared" si="7"/>
        <v>956.8420910000001</v>
      </c>
      <c r="AM15" s="120">
        <f t="shared" ref="AM15" si="8">+AM9+AM7+AM12</f>
        <v>735.45572900000025</v>
      </c>
    </row>
    <row r="16" spans="1:39" s="90" customFormat="1" ht="15" x14ac:dyDescent="0.25">
      <c r="A16" s="98" t="s">
        <v>188</v>
      </c>
      <c r="B16" s="120">
        <f t="shared" ref="B16:N16" si="9">+B5+B13</f>
        <v>1605.1623000000002</v>
      </c>
      <c r="C16" s="120">
        <f t="shared" si="9"/>
        <v>1385.3058320000005</v>
      </c>
      <c r="D16" s="120">
        <f t="shared" si="9"/>
        <v>1638.7028359999999</v>
      </c>
      <c r="E16" s="120">
        <f t="shared" si="9"/>
        <v>1063.7751640000001</v>
      </c>
      <c r="F16" s="120">
        <f t="shared" si="9"/>
        <v>1157.2387650000001</v>
      </c>
      <c r="G16" s="120">
        <f t="shared" si="9"/>
        <v>1256.2994720000002</v>
      </c>
      <c r="H16" s="120">
        <f t="shared" si="9"/>
        <v>1336.2810799999997</v>
      </c>
      <c r="I16" s="120">
        <f t="shared" si="9"/>
        <v>1225.0010289999998</v>
      </c>
      <c r="J16" s="120">
        <f t="shared" si="9"/>
        <v>1089.1838480000004</v>
      </c>
      <c r="K16" s="120">
        <f t="shared" si="9"/>
        <v>999.75278299999968</v>
      </c>
      <c r="L16" s="120">
        <f t="shared" si="9"/>
        <v>1059.184321</v>
      </c>
      <c r="M16" s="120">
        <f t="shared" si="9"/>
        <v>1172.0210380000001</v>
      </c>
      <c r="N16" s="120">
        <f t="shared" si="9"/>
        <v>1465.3461459999999</v>
      </c>
      <c r="O16" s="120">
        <f t="shared" ref="O16:R16" si="10">+O5+O13</f>
        <v>1441.138015</v>
      </c>
      <c r="P16" s="120">
        <f t="shared" si="10"/>
        <v>1304.6999530000003</v>
      </c>
      <c r="Q16" s="120">
        <f t="shared" si="10"/>
        <v>1059.5886139999998</v>
      </c>
      <c r="R16" s="120">
        <f t="shared" si="10"/>
        <v>1285.906774</v>
      </c>
      <c r="S16" s="120">
        <f>+S5+S13</f>
        <v>1155.9668429999999</v>
      </c>
      <c r="T16" s="120">
        <f>+T5+T13</f>
        <v>1327.6899369999999</v>
      </c>
      <c r="U16" s="120">
        <f>+U5+U13</f>
        <v>1213.7524570000005</v>
      </c>
      <c r="V16" s="120">
        <f t="shared" ref="V16:AL16" si="11">+V5+V13</f>
        <v>1005.2330790000001</v>
      </c>
      <c r="W16" s="120">
        <f t="shared" si="11"/>
        <v>1159.4936580000003</v>
      </c>
      <c r="X16" s="120">
        <f t="shared" si="11"/>
        <v>1301.4463700000001</v>
      </c>
      <c r="Y16" s="120">
        <f t="shared" si="11"/>
        <v>1462.1437380000002</v>
      </c>
      <c r="Z16" s="120">
        <f t="shared" si="11"/>
        <v>1882.4629860000002</v>
      </c>
      <c r="AA16" s="120">
        <f t="shared" si="11"/>
        <v>1811.3603479999999</v>
      </c>
      <c r="AB16" s="120">
        <f t="shared" si="11"/>
        <v>1645.7388739999997</v>
      </c>
      <c r="AC16" s="120">
        <f t="shared" si="11"/>
        <v>1295.1357829999997</v>
      </c>
      <c r="AD16" s="120">
        <f t="shared" si="11"/>
        <v>1445.5086400000007</v>
      </c>
      <c r="AE16" s="120">
        <f t="shared" si="11"/>
        <v>1715.0998860000004</v>
      </c>
      <c r="AF16" s="120">
        <f t="shared" si="11"/>
        <v>1757.0957639999999</v>
      </c>
      <c r="AG16" s="120">
        <f t="shared" si="11"/>
        <v>1608.824134</v>
      </c>
      <c r="AH16" s="120">
        <f t="shared" si="11"/>
        <v>1432.1366940000003</v>
      </c>
      <c r="AI16" s="120">
        <f t="shared" si="11"/>
        <v>1381.0665419999998</v>
      </c>
      <c r="AJ16" s="120">
        <f t="shared" si="11"/>
        <v>1435.2342679999999</v>
      </c>
      <c r="AK16" s="120">
        <f t="shared" si="11"/>
        <v>1934.7552049999995</v>
      </c>
      <c r="AL16" s="120">
        <f t="shared" si="11"/>
        <v>2066.9457240000002</v>
      </c>
      <c r="AM16" s="120">
        <f t="shared" ref="AM16" si="12">+AM5+AM13</f>
        <v>1941.2377530000001</v>
      </c>
    </row>
    <row r="17" spans="1:39" s="90" customFormat="1" ht="15" x14ac:dyDescent="0.25">
      <c r="A17" s="98" t="s">
        <v>166</v>
      </c>
      <c r="B17" s="120">
        <f t="shared" ref="B17:N17" si="13">+B10</f>
        <v>10.002800000000002</v>
      </c>
      <c r="C17" s="120">
        <f t="shared" si="13"/>
        <v>9.4911209999999997</v>
      </c>
      <c r="D17" s="120">
        <f t="shared" si="13"/>
        <v>10.996262999999997</v>
      </c>
      <c r="E17" s="120">
        <f t="shared" si="13"/>
        <v>7.8464700000000009</v>
      </c>
      <c r="F17" s="120">
        <f t="shared" si="13"/>
        <v>8.5064240000000009</v>
      </c>
      <c r="G17" s="120">
        <f t="shared" si="13"/>
        <v>12.210043000000002</v>
      </c>
      <c r="H17" s="120">
        <f t="shared" si="13"/>
        <v>14.552798000000003</v>
      </c>
      <c r="I17" s="120">
        <f t="shared" si="13"/>
        <v>13.869389</v>
      </c>
      <c r="J17" s="120">
        <f t="shared" si="13"/>
        <v>11.915385000000013</v>
      </c>
      <c r="K17" s="120">
        <f t="shared" si="13"/>
        <v>9.624595999999995</v>
      </c>
      <c r="L17" s="120">
        <f t="shared" si="13"/>
        <v>9.2358129999999985</v>
      </c>
      <c r="M17" s="120">
        <f t="shared" si="13"/>
        <v>17.484476000000001</v>
      </c>
      <c r="N17" s="120">
        <f t="shared" si="13"/>
        <v>18.733722</v>
      </c>
      <c r="O17" s="120">
        <f t="shared" ref="O17:R17" si="14">+O10</f>
        <v>18.046778000000007</v>
      </c>
      <c r="P17" s="120">
        <f t="shared" si="14"/>
        <v>11.238441000000005</v>
      </c>
      <c r="Q17" s="120">
        <f t="shared" si="14"/>
        <v>9.3107820000000032</v>
      </c>
      <c r="R17" s="120">
        <f t="shared" si="14"/>
        <v>12.065422</v>
      </c>
      <c r="S17" s="120">
        <f>+S10</f>
        <v>12.101374999999997</v>
      </c>
      <c r="T17" s="120">
        <f>+T10</f>
        <v>14.884427000000004</v>
      </c>
      <c r="U17" s="120">
        <f>+U10</f>
        <v>14.568653000000001</v>
      </c>
      <c r="V17" s="120">
        <f t="shared" ref="V17:AL17" si="15">+V10</f>
        <v>12.907309999999997</v>
      </c>
      <c r="W17" s="120">
        <f t="shared" si="15"/>
        <v>11.794640000000001</v>
      </c>
      <c r="X17" s="120">
        <f t="shared" si="15"/>
        <v>10.763573000000003</v>
      </c>
      <c r="Y17" s="120">
        <f t="shared" si="15"/>
        <v>10.706873999999999</v>
      </c>
      <c r="Z17" s="120">
        <f t="shared" si="15"/>
        <v>12.747724000000002</v>
      </c>
      <c r="AA17" s="120">
        <f t="shared" si="15"/>
        <v>12.752452999999999</v>
      </c>
      <c r="AB17" s="120">
        <f t="shared" si="15"/>
        <v>11.891406000000003</v>
      </c>
      <c r="AC17" s="120">
        <f t="shared" si="15"/>
        <v>9.7011740000000035</v>
      </c>
      <c r="AD17" s="120">
        <f t="shared" si="15"/>
        <v>10.128015000000003</v>
      </c>
      <c r="AE17" s="120">
        <f t="shared" si="15"/>
        <v>12.172935000000001</v>
      </c>
      <c r="AF17" s="120">
        <f t="shared" si="15"/>
        <v>14.263698</v>
      </c>
      <c r="AG17" s="120">
        <f t="shared" si="15"/>
        <v>13.593463000000002</v>
      </c>
      <c r="AH17" s="120">
        <f t="shared" si="15"/>
        <v>11.085982</v>
      </c>
      <c r="AI17" s="120">
        <f t="shared" si="15"/>
        <v>10.164602</v>
      </c>
      <c r="AJ17" s="120">
        <f t="shared" si="15"/>
        <v>12.204036</v>
      </c>
      <c r="AK17" s="120">
        <f t="shared" si="15"/>
        <v>10.879918999999999</v>
      </c>
      <c r="AL17" s="120">
        <f t="shared" si="15"/>
        <v>17.331096000000006</v>
      </c>
      <c r="AM17" s="120">
        <f t="shared" ref="AM17" si="16">+AM10</f>
        <v>10.769767</v>
      </c>
    </row>
    <row r="18" spans="1:39" s="90" customFormat="1" ht="15" x14ac:dyDescent="0.25">
      <c r="A18" s="121" t="s">
        <v>189</v>
      </c>
      <c r="B18" s="122">
        <f t="shared" ref="B18:N18" si="17">+SUM(B14:B17)</f>
        <v>6817.4090839999999</v>
      </c>
      <c r="C18" s="122">
        <f t="shared" si="17"/>
        <v>5684.5629150000013</v>
      </c>
      <c r="D18" s="122">
        <f t="shared" si="17"/>
        <v>6927.3763519999984</v>
      </c>
      <c r="E18" s="122">
        <f t="shared" si="17"/>
        <v>3985.9542780000002</v>
      </c>
      <c r="F18" s="122">
        <f t="shared" si="17"/>
        <v>4656.3831540000001</v>
      </c>
      <c r="G18" s="122">
        <f t="shared" si="17"/>
        <v>5835.7743930000006</v>
      </c>
      <c r="H18" s="122">
        <f t="shared" si="17"/>
        <v>6277.1615189999993</v>
      </c>
      <c r="I18" s="122">
        <f t="shared" si="17"/>
        <v>5501.9217639999997</v>
      </c>
      <c r="J18" s="122">
        <f t="shared" si="17"/>
        <v>4894.3246260000024</v>
      </c>
      <c r="K18" s="122">
        <f t="shared" si="17"/>
        <v>4396.2465969999994</v>
      </c>
      <c r="L18" s="122">
        <f t="shared" si="17"/>
        <v>4858.9104540000017</v>
      </c>
      <c r="M18" s="122">
        <f t="shared" si="17"/>
        <v>5466.6489969999975</v>
      </c>
      <c r="N18" s="122">
        <f t="shared" si="17"/>
        <v>6460.1652429999995</v>
      </c>
      <c r="O18" s="122">
        <f t="shared" ref="O18:AL18" si="18">+SUM(O14:O17)</f>
        <v>6343.1356530000012</v>
      </c>
      <c r="P18" s="122">
        <f t="shared" si="18"/>
        <v>5484.6096580000003</v>
      </c>
      <c r="Q18" s="122">
        <f t="shared" si="18"/>
        <v>4253.020669999999</v>
      </c>
      <c r="R18" s="122">
        <f t="shared" si="18"/>
        <v>6041.5150540000004</v>
      </c>
      <c r="S18" s="122">
        <f t="shared" si="18"/>
        <v>5345.5174189999998</v>
      </c>
      <c r="T18" s="122">
        <f t="shared" si="18"/>
        <v>6891.4025890000012</v>
      </c>
      <c r="U18" s="122">
        <f t="shared" si="18"/>
        <v>5900.9830499999998</v>
      </c>
      <c r="V18" s="122">
        <f t="shared" si="18"/>
        <v>4320.5865519999998</v>
      </c>
      <c r="W18" s="122">
        <f t="shared" si="18"/>
        <v>4548.71839</v>
      </c>
      <c r="X18" s="122">
        <f t="shared" si="18"/>
        <v>4796.4447670000009</v>
      </c>
      <c r="Y18" s="122">
        <f t="shared" si="18"/>
        <v>5172.4272209999999</v>
      </c>
      <c r="Z18" s="122">
        <f t="shared" si="18"/>
        <v>6831.5264589999997</v>
      </c>
      <c r="AA18" s="122">
        <f t="shared" si="18"/>
        <v>6258.0981290000009</v>
      </c>
      <c r="AB18" s="122">
        <f t="shared" si="18"/>
        <v>5281.6953579999999</v>
      </c>
      <c r="AC18" s="122">
        <f t="shared" si="18"/>
        <v>4008.2987069999999</v>
      </c>
      <c r="AD18" s="122">
        <f t="shared" si="18"/>
        <v>4921.3435430000009</v>
      </c>
      <c r="AE18" s="122">
        <f t="shared" si="18"/>
        <v>6592.6760239999994</v>
      </c>
      <c r="AF18" s="122">
        <f t="shared" si="18"/>
        <v>6579.3327919999992</v>
      </c>
      <c r="AG18" s="122">
        <f t="shared" si="18"/>
        <v>5596.6075199999996</v>
      </c>
      <c r="AH18" s="122">
        <f t="shared" si="18"/>
        <v>4620.3635519999998</v>
      </c>
      <c r="AI18" s="122">
        <f t="shared" si="18"/>
        <v>4464.5772230000002</v>
      </c>
      <c r="AJ18" s="122">
        <f t="shared" si="18"/>
        <v>4660.6183069999997</v>
      </c>
      <c r="AK18" s="122">
        <f t="shared" si="18"/>
        <v>6577.7845100000004</v>
      </c>
      <c r="AL18" s="122">
        <f t="shared" si="18"/>
        <v>6510.4992390000007</v>
      </c>
      <c r="AM18" s="122">
        <f t="shared" ref="AM18" si="19">+SUM(AM14:AM17)</f>
        <v>5559.5198640000008</v>
      </c>
    </row>
    <row r="19" spans="1:39" s="90" customFormat="1" ht="15" x14ac:dyDescent="0.25">
      <c r="A19" s="95" t="s">
        <v>167</v>
      </c>
      <c r="B19" s="97">
        <v>2.2867560000000005</v>
      </c>
      <c r="C19" s="97">
        <v>2.425459</v>
      </c>
      <c r="D19" s="97">
        <v>12.037131000000002</v>
      </c>
      <c r="E19" s="97">
        <v>10.949211</v>
      </c>
      <c r="F19" s="97">
        <v>10.372814999999999</v>
      </c>
      <c r="G19" s="97">
        <v>10.019594</v>
      </c>
      <c r="H19" s="97">
        <v>11.576900999999998</v>
      </c>
      <c r="I19" s="97">
        <v>13.728119999999999</v>
      </c>
      <c r="J19" s="97">
        <v>17.787119999999991</v>
      </c>
      <c r="K19" s="97">
        <v>20.507712999999995</v>
      </c>
      <c r="L19" s="97">
        <v>22.340262000000003</v>
      </c>
      <c r="M19" s="97">
        <v>26.343437999999999</v>
      </c>
      <c r="N19" s="96">
        <v>30.212230000000005</v>
      </c>
      <c r="O19" s="96">
        <v>34.377843999999996</v>
      </c>
      <c r="P19" s="96">
        <v>28.409861999999997</v>
      </c>
      <c r="Q19" s="96">
        <v>14.912590999999999</v>
      </c>
      <c r="R19" s="96">
        <v>12.771494000000002</v>
      </c>
      <c r="S19" s="96">
        <v>7.6658020000000002</v>
      </c>
      <c r="T19" s="96">
        <v>8.059705000000001</v>
      </c>
      <c r="U19" s="96">
        <v>18.067330999999999</v>
      </c>
      <c r="V19" s="96">
        <v>16.424484999999997</v>
      </c>
      <c r="W19" s="96">
        <v>16.965946000000002</v>
      </c>
      <c r="X19" s="96">
        <v>17.991392999999999</v>
      </c>
      <c r="Y19" s="96">
        <v>18.792477000000002</v>
      </c>
      <c r="Z19" s="96">
        <v>19.590297000000007</v>
      </c>
      <c r="AA19" s="96">
        <v>19.858936</v>
      </c>
      <c r="AB19" s="96">
        <v>20.397376000000008</v>
      </c>
      <c r="AC19" s="96">
        <v>18.060926000000002</v>
      </c>
      <c r="AD19" s="96">
        <v>18.752453000000006</v>
      </c>
      <c r="AE19" s="96">
        <v>19.240320999999998</v>
      </c>
      <c r="AF19" s="96">
        <v>19.895457</v>
      </c>
      <c r="AG19" s="96">
        <v>19.876570000000005</v>
      </c>
      <c r="AH19" s="96">
        <v>19.637015999999996</v>
      </c>
      <c r="AI19" s="96">
        <v>18.072043000000001</v>
      </c>
      <c r="AJ19" s="96">
        <v>19.332194000000005</v>
      </c>
      <c r="AK19" s="96">
        <v>20.385137999999998</v>
      </c>
      <c r="AL19" s="96">
        <v>20.980543000000001</v>
      </c>
      <c r="AM19" s="96">
        <v>19.333103000000001</v>
      </c>
    </row>
    <row r="20" spans="1:39" s="90" customFormat="1" ht="15" x14ac:dyDescent="0.25">
      <c r="A20" s="95" t="s">
        <v>168</v>
      </c>
      <c r="B20" s="133">
        <v>3646.4509059999991</v>
      </c>
      <c r="C20" s="100">
        <v>867.77600300000006</v>
      </c>
      <c r="D20" s="100">
        <v>990.99670299999991</v>
      </c>
      <c r="E20" s="100">
        <v>831.58669400000008</v>
      </c>
      <c r="F20" s="100">
        <v>679.90893999999992</v>
      </c>
      <c r="G20" s="100">
        <v>692.14847999999995</v>
      </c>
      <c r="H20" s="100">
        <v>721.31121099999996</v>
      </c>
      <c r="I20" s="100">
        <v>703.16405499999996</v>
      </c>
      <c r="J20" s="100">
        <v>674.46651199999951</v>
      </c>
      <c r="K20" s="100">
        <v>682.56555899999989</v>
      </c>
      <c r="L20" s="100">
        <v>696.18332699999974</v>
      </c>
      <c r="M20" s="100">
        <v>729.74888200000044</v>
      </c>
      <c r="N20" s="96">
        <v>799.44166999999993</v>
      </c>
      <c r="O20" s="96">
        <v>747.57882200000006</v>
      </c>
      <c r="P20" s="96">
        <v>744.43154399999992</v>
      </c>
      <c r="Q20" s="96">
        <v>631.37878300000023</v>
      </c>
      <c r="R20" s="96">
        <v>710.09841900000004</v>
      </c>
      <c r="S20" s="96">
        <v>666.43679999999995</v>
      </c>
      <c r="T20" s="96">
        <v>733.84099399999991</v>
      </c>
      <c r="U20" s="96">
        <v>692.98185999999998</v>
      </c>
      <c r="V20" s="96">
        <v>633.9241360000002</v>
      </c>
      <c r="W20" s="96">
        <v>674.22332899999981</v>
      </c>
      <c r="X20" s="96">
        <v>689.45097799999974</v>
      </c>
      <c r="Y20" s="96">
        <v>726.3658519999999</v>
      </c>
      <c r="Z20" s="96">
        <v>810.27670099999978</v>
      </c>
      <c r="AA20" s="96">
        <v>766.50639100000001</v>
      </c>
      <c r="AB20" s="96">
        <v>710.38411299999996</v>
      </c>
      <c r="AC20" s="96">
        <v>615.12932799999999</v>
      </c>
      <c r="AD20" s="96">
        <v>662.86731799999995</v>
      </c>
      <c r="AE20" s="96">
        <v>710.69003500000008</v>
      </c>
      <c r="AF20" s="96">
        <v>714.77337499999999</v>
      </c>
      <c r="AG20" s="96">
        <v>674.78711700000008</v>
      </c>
      <c r="AH20" s="96">
        <v>659.42258500000003</v>
      </c>
      <c r="AI20" s="96">
        <v>667.82556100000011</v>
      </c>
      <c r="AJ20" s="96">
        <v>664.86181799999986</v>
      </c>
      <c r="AK20" s="96">
        <v>775.42162300000007</v>
      </c>
      <c r="AL20" s="96">
        <v>789.00257299999998</v>
      </c>
      <c r="AM20" s="96">
        <v>0</v>
      </c>
    </row>
    <row r="21" spans="1:39" s="90" customFormat="1" ht="15" x14ac:dyDescent="0.25">
      <c r="A21" s="95" t="s">
        <v>169</v>
      </c>
      <c r="B21" s="134"/>
      <c r="C21" s="100">
        <v>576.42750900000021</v>
      </c>
      <c r="D21" s="100">
        <v>655.77370400000007</v>
      </c>
      <c r="E21" s="100">
        <v>505.23135200000002</v>
      </c>
      <c r="F21" s="100">
        <v>412.48734000000002</v>
      </c>
      <c r="G21" s="100">
        <v>415.75152199999997</v>
      </c>
      <c r="H21" s="100">
        <v>431.65563999999989</v>
      </c>
      <c r="I21" s="100">
        <v>417.75454900000005</v>
      </c>
      <c r="J21" s="100">
        <v>391.76782299999991</v>
      </c>
      <c r="K21" s="100">
        <v>390.88189399999982</v>
      </c>
      <c r="L21" s="100">
        <v>445.44523800000002</v>
      </c>
      <c r="M21" s="100">
        <v>507.23031099999997</v>
      </c>
      <c r="N21" s="96">
        <v>571.65451799999994</v>
      </c>
      <c r="O21" s="96">
        <v>551.42794700000002</v>
      </c>
      <c r="P21" s="96">
        <v>533.36933399999998</v>
      </c>
      <c r="Q21" s="96">
        <v>411.12270899999987</v>
      </c>
      <c r="R21" s="96">
        <v>439.60610999999994</v>
      </c>
      <c r="S21" s="96">
        <v>406.37134100000009</v>
      </c>
      <c r="T21" s="96">
        <v>453.3409400000001</v>
      </c>
      <c r="U21" s="96">
        <v>433.38562400000001</v>
      </c>
      <c r="V21" s="96">
        <v>382.18088899999992</v>
      </c>
      <c r="W21" s="96">
        <v>418.70291900000012</v>
      </c>
      <c r="X21" s="96">
        <v>468.47754500000002</v>
      </c>
      <c r="Y21" s="96">
        <v>521.10988800000007</v>
      </c>
      <c r="Z21" s="96">
        <v>662.8532110000001</v>
      </c>
      <c r="AA21" s="96">
        <v>627.81480899999997</v>
      </c>
      <c r="AB21" s="96">
        <v>546.34219999999993</v>
      </c>
      <c r="AC21" s="96">
        <v>415.79104599999994</v>
      </c>
      <c r="AD21" s="96">
        <v>441.33402100000001</v>
      </c>
      <c r="AE21" s="96">
        <v>465.87367999999992</v>
      </c>
      <c r="AF21" s="96">
        <v>478.87348599999996</v>
      </c>
      <c r="AG21" s="96">
        <v>423.36033200000003</v>
      </c>
      <c r="AH21" s="96">
        <v>399.633669</v>
      </c>
      <c r="AI21" s="96">
        <v>407.68875100000002</v>
      </c>
      <c r="AJ21" s="96">
        <v>426.69619</v>
      </c>
      <c r="AK21" s="96">
        <v>556.09340100000009</v>
      </c>
      <c r="AL21" s="96">
        <v>597.09428200000002</v>
      </c>
      <c r="AM21" s="96">
        <v>0</v>
      </c>
    </row>
    <row r="22" spans="1:39" s="90" customFormat="1" ht="15" x14ac:dyDescent="0.25">
      <c r="A22" s="95" t="s">
        <v>170</v>
      </c>
      <c r="B22" s="134"/>
      <c r="C22" s="100">
        <v>1823.679216</v>
      </c>
      <c r="D22" s="100">
        <v>2076.245195</v>
      </c>
      <c r="E22" s="100">
        <v>1696.6441359999997</v>
      </c>
      <c r="F22" s="100">
        <v>1557.2837690000006</v>
      </c>
      <c r="G22" s="100">
        <v>1562.2219250000003</v>
      </c>
      <c r="H22" s="100">
        <v>1621.3490379999996</v>
      </c>
      <c r="I22" s="100">
        <v>1619.9367740000002</v>
      </c>
      <c r="J22" s="100">
        <v>1577.3526429999995</v>
      </c>
      <c r="K22" s="100">
        <v>1587.6486259999997</v>
      </c>
      <c r="L22" s="100">
        <v>1649.5027540000001</v>
      </c>
      <c r="M22" s="100">
        <v>1736.6770100000001</v>
      </c>
      <c r="N22" s="96">
        <v>1857.0344860000002</v>
      </c>
      <c r="O22" s="96">
        <v>1797.3053790000001</v>
      </c>
      <c r="P22" s="96">
        <v>1730.1027779999995</v>
      </c>
      <c r="Q22" s="96">
        <v>1475.6008420000003</v>
      </c>
      <c r="R22" s="96">
        <v>1546.3559119999998</v>
      </c>
      <c r="S22" s="96">
        <v>1474.9737309999996</v>
      </c>
      <c r="T22" s="96">
        <v>1607.8553000000006</v>
      </c>
      <c r="U22" s="96">
        <v>1617.267963</v>
      </c>
      <c r="V22" s="96">
        <v>1528.9033059999995</v>
      </c>
      <c r="W22" s="96">
        <v>1601.6651799999997</v>
      </c>
      <c r="X22" s="96">
        <v>1667.47144</v>
      </c>
      <c r="Y22" s="96">
        <v>1763.1705550000001</v>
      </c>
      <c r="Z22" s="96">
        <v>1903.9632939999999</v>
      </c>
      <c r="AA22" s="96">
        <v>1818.3907120000001</v>
      </c>
      <c r="AB22" s="96">
        <v>1649.5263169999998</v>
      </c>
      <c r="AC22" s="96">
        <v>1474.187238</v>
      </c>
      <c r="AD22" s="96">
        <v>1490.5289260000004</v>
      </c>
      <c r="AE22" s="96">
        <v>1532.0446469999997</v>
      </c>
      <c r="AF22" s="96">
        <v>1601.4426730000007</v>
      </c>
      <c r="AG22" s="96">
        <v>1573.9222299999994</v>
      </c>
      <c r="AH22" s="96">
        <v>1535.6688939999999</v>
      </c>
      <c r="AI22" s="96">
        <v>1583.537652</v>
      </c>
      <c r="AJ22" s="96">
        <v>1533.1101690000003</v>
      </c>
      <c r="AK22" s="96">
        <v>1700.2880519999999</v>
      </c>
      <c r="AL22" s="96">
        <v>1717.2127249999999</v>
      </c>
      <c r="AM22" s="96">
        <v>0</v>
      </c>
    </row>
    <row r="23" spans="1:39" s="90" customFormat="1" ht="15" x14ac:dyDescent="0.25">
      <c r="A23" s="95" t="s">
        <v>171</v>
      </c>
      <c r="B23" s="135"/>
      <c r="C23" s="100"/>
      <c r="D23" s="100"/>
      <c r="E23" s="100"/>
      <c r="F23" s="100">
        <v>416.03606999999994</v>
      </c>
      <c r="G23" s="100">
        <v>438.43538100000001</v>
      </c>
      <c r="H23" s="100">
        <v>438.415909</v>
      </c>
      <c r="I23" s="100">
        <v>424.89808799999997</v>
      </c>
      <c r="J23" s="100">
        <v>393.80358200000012</v>
      </c>
      <c r="K23" s="100">
        <v>372.78947300000004</v>
      </c>
      <c r="L23" s="100">
        <v>342.82308599999988</v>
      </c>
      <c r="M23" s="100">
        <v>344.16296900000009</v>
      </c>
      <c r="N23" s="96">
        <v>344.00503700000007</v>
      </c>
      <c r="O23" s="96">
        <v>330.3839769999999</v>
      </c>
      <c r="P23" s="96">
        <v>353.14544100000006</v>
      </c>
      <c r="Q23" s="96">
        <v>386.37736999999993</v>
      </c>
      <c r="R23" s="96">
        <v>414.26218299999999</v>
      </c>
      <c r="S23" s="96">
        <v>418.16960899999992</v>
      </c>
      <c r="T23" s="96">
        <v>426.70590400000003</v>
      </c>
      <c r="U23" s="96">
        <v>418.34387500000003</v>
      </c>
      <c r="V23" s="96">
        <v>376.74161199999992</v>
      </c>
      <c r="W23" s="96">
        <v>371.81729799999999</v>
      </c>
      <c r="X23" s="96">
        <v>344.14080800000005</v>
      </c>
      <c r="Y23" s="96">
        <v>336.540977</v>
      </c>
      <c r="Z23" s="96">
        <v>342.19346900000011</v>
      </c>
      <c r="AA23" s="96">
        <v>335.43352700000008</v>
      </c>
      <c r="AB23" s="96">
        <v>361.03130500000003</v>
      </c>
      <c r="AC23" s="96">
        <v>384.21229599999998</v>
      </c>
      <c r="AD23" s="96">
        <v>405.93762200000003</v>
      </c>
      <c r="AE23" s="96">
        <v>429.94196099999999</v>
      </c>
      <c r="AF23" s="96">
        <v>429.59559400000012</v>
      </c>
      <c r="AG23" s="96">
        <v>416.27382100000005</v>
      </c>
      <c r="AH23" s="96">
        <v>380.94294799999994</v>
      </c>
      <c r="AI23" s="96">
        <v>372.02664700000008</v>
      </c>
      <c r="AJ23" s="96">
        <v>338.6949449999999</v>
      </c>
      <c r="AK23" s="96">
        <v>335.14229000000006</v>
      </c>
      <c r="AL23" s="96">
        <v>324.33447499999994</v>
      </c>
      <c r="AM23" s="96">
        <v>0</v>
      </c>
    </row>
    <row r="24" spans="1:39" s="90" customFormat="1" ht="15" x14ac:dyDescent="0.25">
      <c r="A24" s="98" t="s">
        <v>172</v>
      </c>
      <c r="B24" s="99">
        <v>3648.7376619999991</v>
      </c>
      <c r="C24" s="99">
        <f>+SUM(C19:C23)</f>
        <v>3270.3081870000005</v>
      </c>
      <c r="D24" s="99">
        <f t="shared" ref="D24:AL24" si="20">+SUM(D19:D23)</f>
        <v>3735.052733</v>
      </c>
      <c r="E24" s="99">
        <f t="shared" si="20"/>
        <v>3044.4113929999994</v>
      </c>
      <c r="F24" s="99">
        <f t="shared" si="20"/>
        <v>3076.0889340000003</v>
      </c>
      <c r="G24" s="99">
        <f t="shared" si="20"/>
        <v>3118.5769020000007</v>
      </c>
      <c r="H24" s="99">
        <f t="shared" si="20"/>
        <v>3224.3086989999993</v>
      </c>
      <c r="I24" s="99">
        <f t="shared" si="20"/>
        <v>3179.4815859999999</v>
      </c>
      <c r="J24" s="99">
        <f t="shared" si="20"/>
        <v>3055.1776799999989</v>
      </c>
      <c r="K24" s="99">
        <f t="shared" si="20"/>
        <v>3054.3932649999997</v>
      </c>
      <c r="L24" s="99">
        <f t="shared" si="20"/>
        <v>3156.2946669999997</v>
      </c>
      <c r="M24" s="99">
        <f t="shared" si="20"/>
        <v>3344.1626100000003</v>
      </c>
      <c r="N24" s="99">
        <f t="shared" si="20"/>
        <v>3602.347941</v>
      </c>
      <c r="O24" s="99">
        <f t="shared" si="20"/>
        <v>3461.0739690000005</v>
      </c>
      <c r="P24" s="99">
        <f t="shared" si="20"/>
        <v>3389.4589589999996</v>
      </c>
      <c r="Q24" s="99">
        <f t="shared" si="20"/>
        <v>2919.3922950000006</v>
      </c>
      <c r="R24" s="99">
        <f t="shared" si="20"/>
        <v>3123.0941179999995</v>
      </c>
      <c r="S24" s="99">
        <f t="shared" si="20"/>
        <v>2973.6172829999996</v>
      </c>
      <c r="T24" s="99">
        <f t="shared" si="20"/>
        <v>3229.8028430000008</v>
      </c>
      <c r="U24" s="99">
        <f t="shared" si="20"/>
        <v>3180.0466529999999</v>
      </c>
      <c r="V24" s="99">
        <f t="shared" si="20"/>
        <v>2938.1744279999994</v>
      </c>
      <c r="W24" s="99">
        <f t="shared" si="20"/>
        <v>3083.3746719999999</v>
      </c>
      <c r="X24" s="99">
        <f t="shared" si="20"/>
        <v>3187.5321640000002</v>
      </c>
      <c r="Y24" s="99">
        <f t="shared" si="20"/>
        <v>3365.9797490000001</v>
      </c>
      <c r="Z24" s="99">
        <f t="shared" si="20"/>
        <v>3738.876972</v>
      </c>
      <c r="AA24" s="99">
        <f t="shared" si="20"/>
        <v>3568.0043750000004</v>
      </c>
      <c r="AB24" s="99">
        <f t="shared" si="20"/>
        <v>3287.6813109999998</v>
      </c>
      <c r="AC24" s="99">
        <f t="shared" si="20"/>
        <v>2907.380834</v>
      </c>
      <c r="AD24" s="99">
        <f t="shared" si="20"/>
        <v>3019.4203400000001</v>
      </c>
      <c r="AE24" s="99">
        <f t="shared" si="20"/>
        <v>3157.7906439999997</v>
      </c>
      <c r="AF24" s="99">
        <f t="shared" si="20"/>
        <v>3244.5805850000006</v>
      </c>
      <c r="AG24" s="99">
        <f t="shared" si="20"/>
        <v>3108.2200699999999</v>
      </c>
      <c r="AH24" s="99">
        <f t="shared" si="20"/>
        <v>2995.305112</v>
      </c>
      <c r="AI24" s="99">
        <f t="shared" si="20"/>
        <v>3049.1506540000005</v>
      </c>
      <c r="AJ24" s="99">
        <f t="shared" si="20"/>
        <v>2982.6953159999998</v>
      </c>
      <c r="AK24" s="99">
        <f t="shared" si="20"/>
        <v>3387.330504</v>
      </c>
      <c r="AL24" s="99">
        <f t="shared" si="20"/>
        <v>3448.6245979999999</v>
      </c>
      <c r="AM24" s="99">
        <v>3303.9063960000008</v>
      </c>
    </row>
    <row r="25" spans="1:39" s="90" customFormat="1" ht="15" x14ac:dyDescent="0.25">
      <c r="A25" s="95" t="s">
        <v>173</v>
      </c>
      <c r="B25" s="97">
        <v>50.318445999999994</v>
      </c>
      <c r="C25" s="97">
        <v>49.683810999999999</v>
      </c>
      <c r="D25" s="97">
        <v>56.258141999999999</v>
      </c>
      <c r="E25" s="97">
        <v>35.277162000000004</v>
      </c>
      <c r="F25" s="97">
        <v>32.683351000000002</v>
      </c>
      <c r="G25" s="97">
        <v>34.970881999999996</v>
      </c>
      <c r="H25" s="97">
        <v>37.065734000000006</v>
      </c>
      <c r="I25" s="97">
        <v>36.118910000000007</v>
      </c>
      <c r="J25" s="97">
        <v>34.165827</v>
      </c>
      <c r="K25" s="97">
        <v>34.543404999999993</v>
      </c>
      <c r="L25" s="97">
        <v>39.015243000000005</v>
      </c>
      <c r="M25" s="97">
        <v>45.011077999999991</v>
      </c>
      <c r="N25" s="96">
        <v>48.405899999999995</v>
      </c>
      <c r="O25" s="96">
        <v>51.500833</v>
      </c>
      <c r="P25" s="96">
        <v>48.621642000000016</v>
      </c>
      <c r="Q25" s="96">
        <v>34.416978</v>
      </c>
      <c r="R25" s="96">
        <v>36.861835000000006</v>
      </c>
      <c r="S25" s="96">
        <v>35.185235999999996</v>
      </c>
      <c r="T25" s="96">
        <v>39.804903000000003</v>
      </c>
      <c r="U25" s="96">
        <v>38.303964999999991</v>
      </c>
      <c r="V25" s="96">
        <v>33.512389999999989</v>
      </c>
      <c r="W25" s="96">
        <v>36.042650999999999</v>
      </c>
      <c r="X25" s="96">
        <v>41.269227000000008</v>
      </c>
      <c r="Y25" s="96">
        <v>43.346286999999997</v>
      </c>
      <c r="Z25" s="96">
        <v>50.404568999999995</v>
      </c>
      <c r="AA25" s="96">
        <v>52.648181000000008</v>
      </c>
      <c r="AB25" s="96">
        <v>45.908480000000004</v>
      </c>
      <c r="AC25" s="96">
        <v>32.545898999999999</v>
      </c>
      <c r="AD25" s="96">
        <v>35.065004999999999</v>
      </c>
      <c r="AE25" s="96">
        <v>37.406924000000011</v>
      </c>
      <c r="AF25" s="96">
        <v>40.643360999999999</v>
      </c>
      <c r="AG25" s="96">
        <v>37.805191999999998</v>
      </c>
      <c r="AH25" s="96">
        <v>32.3001</v>
      </c>
      <c r="AI25" s="96">
        <v>32.738621000000002</v>
      </c>
      <c r="AJ25" s="96">
        <v>32.109032000000006</v>
      </c>
      <c r="AK25" s="96">
        <v>39.825996999999994</v>
      </c>
      <c r="AL25" s="96">
        <v>47.582092000000003</v>
      </c>
      <c r="AM25" s="96">
        <v>0</v>
      </c>
    </row>
    <row r="26" spans="1:39" s="90" customFormat="1" ht="15" x14ac:dyDescent="0.25">
      <c r="A26" s="95" t="s">
        <v>174</v>
      </c>
      <c r="B26" s="97">
        <v>1132.7647669999999</v>
      </c>
      <c r="C26" s="97">
        <v>1089.5538410000001</v>
      </c>
      <c r="D26" s="97">
        <v>1225.258967</v>
      </c>
      <c r="E26" s="97">
        <v>1050.2802320000001</v>
      </c>
      <c r="F26" s="97">
        <v>1055.1426840000001</v>
      </c>
      <c r="G26" s="97">
        <v>1043.5330459999998</v>
      </c>
      <c r="H26" s="97">
        <v>1059.299845</v>
      </c>
      <c r="I26" s="97">
        <v>1069.4506130000002</v>
      </c>
      <c r="J26" s="97">
        <v>1005.9165220000001</v>
      </c>
      <c r="K26" s="97">
        <v>1006.5266750000002</v>
      </c>
      <c r="L26" s="97">
        <v>1025.6917070000004</v>
      </c>
      <c r="M26" s="97">
        <v>1033.5710959999999</v>
      </c>
      <c r="N26" s="96">
        <v>1070.3081390000002</v>
      </c>
      <c r="O26" s="96">
        <v>1105.9610450000002</v>
      </c>
      <c r="P26" s="96">
        <v>1096.0303639999997</v>
      </c>
      <c r="Q26" s="96">
        <v>979.32684799999993</v>
      </c>
      <c r="R26" s="96">
        <v>1041.1418219999998</v>
      </c>
      <c r="S26" s="96">
        <v>976.56655500000011</v>
      </c>
      <c r="T26" s="96">
        <v>1051.5532009999999</v>
      </c>
      <c r="U26" s="96">
        <v>1021.4255900000001</v>
      </c>
      <c r="V26" s="96">
        <v>969.02918899999997</v>
      </c>
      <c r="W26" s="96">
        <v>1028.5873720000002</v>
      </c>
      <c r="X26" s="96">
        <v>1021.967622</v>
      </c>
      <c r="Y26" s="96">
        <v>1033.7116470000001</v>
      </c>
      <c r="Z26" s="96">
        <v>1060.820324</v>
      </c>
      <c r="AA26" s="96">
        <v>1081.1086069999999</v>
      </c>
      <c r="AB26" s="96">
        <v>1053.4040450000002</v>
      </c>
      <c r="AC26" s="96">
        <v>958.92483799999991</v>
      </c>
      <c r="AD26" s="96">
        <v>980.76308100000028</v>
      </c>
      <c r="AE26" s="96">
        <v>964.41625899999997</v>
      </c>
      <c r="AF26" s="96">
        <v>991.6196470000001</v>
      </c>
      <c r="AG26" s="96">
        <v>973.53210399999989</v>
      </c>
      <c r="AH26" s="96">
        <v>943.81523900000002</v>
      </c>
      <c r="AI26" s="96">
        <v>952.81896900000004</v>
      </c>
      <c r="AJ26" s="96">
        <v>900.88894199999993</v>
      </c>
      <c r="AK26" s="96">
        <v>950.72921500000007</v>
      </c>
      <c r="AL26" s="96">
        <v>963.95755499999996</v>
      </c>
      <c r="AM26" s="96">
        <v>977.27485100000001</v>
      </c>
    </row>
    <row r="27" spans="1:39" s="90" customFormat="1" ht="15" x14ac:dyDescent="0.25">
      <c r="A27" s="98" t="s">
        <v>175</v>
      </c>
      <c r="B27" s="99">
        <v>1183.0832129999999</v>
      </c>
      <c r="C27" s="99">
        <v>1139.2376520000003</v>
      </c>
      <c r="D27" s="99">
        <v>1281.5171089999999</v>
      </c>
      <c r="E27" s="99">
        <v>1085.5573940000002</v>
      </c>
      <c r="F27" s="99">
        <v>1087.826035</v>
      </c>
      <c r="G27" s="99">
        <v>1078.5039279999999</v>
      </c>
      <c r="H27" s="99">
        <v>1096.365579</v>
      </c>
      <c r="I27" s="99">
        <v>1105.5695230000001</v>
      </c>
      <c r="J27" s="99">
        <v>1040.082349</v>
      </c>
      <c r="K27" s="99">
        <v>1041.0700800000002</v>
      </c>
      <c r="L27" s="99">
        <v>1064.7069500000005</v>
      </c>
      <c r="M27" s="99">
        <v>1078.5821739999999</v>
      </c>
      <c r="N27" s="99">
        <v>1118.7140390000002</v>
      </c>
      <c r="O27" s="99">
        <v>1157.4618780000003</v>
      </c>
      <c r="P27" s="99">
        <v>1144.6520059999998</v>
      </c>
      <c r="Q27" s="99">
        <v>1013.7438259999999</v>
      </c>
      <c r="R27" s="99">
        <v>1078.0036569999997</v>
      </c>
      <c r="S27" s="99">
        <v>1011.7517910000001</v>
      </c>
      <c r="T27" s="99">
        <v>1091.3581039999999</v>
      </c>
      <c r="U27" s="99">
        <v>1059.7295550000001</v>
      </c>
      <c r="V27" s="99">
        <v>1002.541579</v>
      </c>
      <c r="W27" s="99">
        <v>1064.6300230000002</v>
      </c>
      <c r="X27" s="99">
        <v>1063.2368490000001</v>
      </c>
      <c r="Y27" s="99">
        <v>1077.0579340000002</v>
      </c>
      <c r="Z27" s="99">
        <v>1111.2248930000001</v>
      </c>
      <c r="AA27" s="99">
        <v>1133.7567879999999</v>
      </c>
      <c r="AB27" s="99">
        <v>1099.3125250000003</v>
      </c>
      <c r="AC27" s="99">
        <v>991.47073699999987</v>
      </c>
      <c r="AD27" s="99">
        <v>1015.8280860000003</v>
      </c>
      <c r="AE27" s="99">
        <v>1001.823183</v>
      </c>
      <c r="AF27" s="99">
        <f t="shared" ref="AF27:AK27" si="21">+SUM(AF25:AF26)</f>
        <v>1032.2630080000001</v>
      </c>
      <c r="AG27" s="99">
        <f t="shared" si="21"/>
        <v>1011.3372959999999</v>
      </c>
      <c r="AH27" s="99">
        <f t="shared" si="21"/>
        <v>976.11533900000006</v>
      </c>
      <c r="AI27" s="99">
        <f t="shared" si="21"/>
        <v>985.55759</v>
      </c>
      <c r="AJ27" s="99">
        <f t="shared" si="21"/>
        <v>932.99797399999989</v>
      </c>
      <c r="AK27" s="99">
        <f t="shared" si="21"/>
        <v>990.5552120000001</v>
      </c>
      <c r="AL27" s="99">
        <f>+SUM(AL25:AL26)</f>
        <v>1011.5396469999999</v>
      </c>
      <c r="AM27" s="99">
        <f>+SUM(AM25:AM26)</f>
        <v>977.27485100000001</v>
      </c>
    </row>
    <row r="28" spans="1:39" s="90" customFormat="1" ht="15" x14ac:dyDescent="0.25">
      <c r="A28" s="101" t="s">
        <v>176</v>
      </c>
      <c r="B28" s="102">
        <v>11649.229959</v>
      </c>
      <c r="C28" s="102">
        <v>10094.108754000001</v>
      </c>
      <c r="D28" s="102">
        <v>11943.946194</v>
      </c>
      <c r="E28" s="102">
        <v>8115.923065</v>
      </c>
      <c r="F28" s="102">
        <v>8820.2981230000005</v>
      </c>
      <c r="G28" s="102">
        <v>10032.855223</v>
      </c>
      <c r="H28" s="102">
        <v>10597.835797</v>
      </c>
      <c r="I28" s="102">
        <v>9786.9728729999988</v>
      </c>
      <c r="J28" s="102">
        <v>8989.5846550000006</v>
      </c>
      <c r="K28" s="102">
        <v>8491.7099419999977</v>
      </c>
      <c r="L28" s="102">
        <v>9079.9120710000025</v>
      </c>
      <c r="M28" s="102">
        <v>9889.3937809999989</v>
      </c>
      <c r="N28" s="102">
        <v>11181.227223</v>
      </c>
      <c r="O28" s="102">
        <v>10961.6715</v>
      </c>
      <c r="P28" s="102">
        <v>10018.720623000001</v>
      </c>
      <c r="Q28" s="102">
        <v>8186.1567909999994</v>
      </c>
      <c r="R28" s="102">
        <v>10242.612828999998</v>
      </c>
      <c r="S28" s="102">
        <v>9330.8864929999982</v>
      </c>
      <c r="T28" s="102">
        <v>11212.563536</v>
      </c>
      <c r="U28" s="102">
        <v>10140.759258000002</v>
      </c>
      <c r="V28" s="102">
        <v>8261.3025589999997</v>
      </c>
      <c r="W28" s="102">
        <v>8696.7230849999996</v>
      </c>
      <c r="X28" s="102">
        <v>9047.21378</v>
      </c>
      <c r="Y28" s="102">
        <v>9615.4649040000004</v>
      </c>
      <c r="Z28" s="102">
        <v>11681.628324000001</v>
      </c>
      <c r="AA28" s="102">
        <v>10959.859292000001</v>
      </c>
      <c r="AB28" s="102">
        <v>9668.6891939999987</v>
      </c>
      <c r="AC28" s="102">
        <f t="shared" ref="AC28:AL28" si="22">+AC27+AC24+AC18</f>
        <v>7907.1502780000001</v>
      </c>
      <c r="AD28" s="102">
        <f t="shared" si="22"/>
        <v>8956.591969000001</v>
      </c>
      <c r="AE28" s="102">
        <f t="shared" si="22"/>
        <v>10752.289850999998</v>
      </c>
      <c r="AF28" s="102">
        <f t="shared" si="22"/>
        <v>10856.176384999999</v>
      </c>
      <c r="AG28" s="102">
        <f t="shared" si="22"/>
        <v>9716.1648859999987</v>
      </c>
      <c r="AH28" s="102">
        <f t="shared" si="22"/>
        <v>8591.7840030000007</v>
      </c>
      <c r="AI28" s="102">
        <f t="shared" si="22"/>
        <v>8499.2854670000015</v>
      </c>
      <c r="AJ28" s="102">
        <f t="shared" si="22"/>
        <v>8576.3115969999999</v>
      </c>
      <c r="AK28" s="102">
        <f t="shared" si="22"/>
        <v>10955.670226</v>
      </c>
      <c r="AL28" s="102">
        <f t="shared" si="22"/>
        <v>10970.663484000001</v>
      </c>
      <c r="AM28" s="102">
        <f t="shared" ref="AM28" si="23">+AM27+AM24+AM18</f>
        <v>9840.7011110000021</v>
      </c>
    </row>
    <row r="29" spans="1:39" s="90" customFormat="1" ht="15" x14ac:dyDescent="0.25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N29" s="103"/>
      <c r="O29" s="103"/>
      <c r="P29" s="103"/>
      <c r="Q29" s="103"/>
      <c r="R29" s="103"/>
      <c r="S29" s="103"/>
      <c r="T29" s="103"/>
      <c r="U29" s="103"/>
    </row>
    <row r="30" spans="1:39" s="90" customFormat="1" ht="15" x14ac:dyDescent="0.25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</row>
    <row r="31" spans="1:39" s="90" customFormat="1" ht="15" x14ac:dyDescent="0.25">
      <c r="A31" s="103"/>
      <c r="B31" s="92">
        <v>2023</v>
      </c>
      <c r="C31" s="92">
        <v>2023</v>
      </c>
      <c r="D31" s="92">
        <v>2023</v>
      </c>
      <c r="E31" s="92">
        <v>2023</v>
      </c>
      <c r="F31" s="92">
        <v>2023</v>
      </c>
      <c r="G31" s="92">
        <v>2023</v>
      </c>
      <c r="H31" s="92">
        <v>2023</v>
      </c>
      <c r="I31" s="92">
        <v>2023</v>
      </c>
      <c r="J31" s="92">
        <v>2023</v>
      </c>
      <c r="K31" s="92">
        <v>2023</v>
      </c>
      <c r="L31" s="92">
        <v>2023</v>
      </c>
      <c r="M31" s="92">
        <v>2023</v>
      </c>
      <c r="N31" s="92">
        <v>2024</v>
      </c>
      <c r="O31" s="92">
        <v>2024</v>
      </c>
      <c r="P31" s="92">
        <v>2024</v>
      </c>
      <c r="Q31" s="92">
        <v>2024</v>
      </c>
      <c r="R31" s="92">
        <v>2024</v>
      </c>
      <c r="S31" s="92">
        <v>2024</v>
      </c>
      <c r="T31" s="92">
        <v>2024</v>
      </c>
      <c r="U31" s="92">
        <v>2024</v>
      </c>
      <c r="V31" s="92">
        <v>2024</v>
      </c>
      <c r="W31" s="92">
        <v>2024</v>
      </c>
      <c r="X31" s="92">
        <v>2024</v>
      </c>
      <c r="Y31" s="92">
        <v>2024</v>
      </c>
      <c r="Z31" s="92">
        <f t="shared" ref="Z31:AJ31" si="24">YEAR(Z32)</f>
        <v>2025</v>
      </c>
      <c r="AA31" s="92">
        <f t="shared" si="24"/>
        <v>2025</v>
      </c>
      <c r="AB31" s="92">
        <f t="shared" si="24"/>
        <v>2025</v>
      </c>
      <c r="AC31" s="92">
        <f t="shared" si="24"/>
        <v>2025</v>
      </c>
      <c r="AD31" s="92">
        <f t="shared" si="24"/>
        <v>2025</v>
      </c>
      <c r="AE31" s="92">
        <f t="shared" si="24"/>
        <v>2025</v>
      </c>
      <c r="AF31" s="92">
        <f t="shared" si="24"/>
        <v>2025</v>
      </c>
      <c r="AG31" s="92">
        <f t="shared" si="24"/>
        <v>2025</v>
      </c>
      <c r="AH31" s="92">
        <f t="shared" si="24"/>
        <v>2025</v>
      </c>
      <c r="AI31" s="92">
        <f t="shared" si="24"/>
        <v>2025</v>
      </c>
      <c r="AJ31" s="92">
        <f t="shared" si="24"/>
        <v>2025</v>
      </c>
      <c r="AK31" s="92">
        <v>2025</v>
      </c>
      <c r="AL31" s="92">
        <v>2026</v>
      </c>
      <c r="AM31" s="92">
        <v>2027</v>
      </c>
    </row>
    <row r="32" spans="1:39" s="90" customFormat="1" ht="15" x14ac:dyDescent="0.25">
      <c r="A32" s="93" t="s">
        <v>177</v>
      </c>
      <c r="B32" s="94">
        <v>44927</v>
      </c>
      <c r="C32" s="94">
        <v>44958</v>
      </c>
      <c r="D32" s="94">
        <v>44986</v>
      </c>
      <c r="E32" s="94">
        <v>45017</v>
      </c>
      <c r="F32" s="94">
        <v>45047</v>
      </c>
      <c r="G32" s="94">
        <v>45078</v>
      </c>
      <c r="H32" s="94">
        <v>45108</v>
      </c>
      <c r="I32" s="94">
        <v>45139</v>
      </c>
      <c r="J32" s="94">
        <v>45170</v>
      </c>
      <c r="K32" s="94">
        <v>45200</v>
      </c>
      <c r="L32" s="94">
        <v>45231</v>
      </c>
      <c r="M32" s="94">
        <v>45261</v>
      </c>
      <c r="N32" s="94">
        <v>45292</v>
      </c>
      <c r="O32" s="94">
        <v>45323</v>
      </c>
      <c r="P32" s="94">
        <v>45352</v>
      </c>
      <c r="Q32" s="94">
        <v>45383</v>
      </c>
      <c r="R32" s="94">
        <v>45413</v>
      </c>
      <c r="S32" s="94">
        <v>45444</v>
      </c>
      <c r="T32" s="94">
        <v>45474</v>
      </c>
      <c r="U32" s="94">
        <v>45505</v>
      </c>
      <c r="V32" s="94">
        <v>45536</v>
      </c>
      <c r="W32" s="94">
        <v>45566</v>
      </c>
      <c r="X32" s="94">
        <v>45597</v>
      </c>
      <c r="Y32" s="94">
        <v>45627</v>
      </c>
      <c r="Z32" s="94">
        <v>45658</v>
      </c>
      <c r="AA32" s="94">
        <v>45689</v>
      </c>
      <c r="AB32" s="94">
        <v>45717</v>
      </c>
      <c r="AC32" s="94">
        <v>45748</v>
      </c>
      <c r="AD32" s="94">
        <v>45778</v>
      </c>
      <c r="AE32" s="94">
        <v>45809</v>
      </c>
      <c r="AF32" s="94">
        <v>45839</v>
      </c>
      <c r="AG32" s="94">
        <v>45870</v>
      </c>
      <c r="AH32" s="94">
        <v>45901</v>
      </c>
      <c r="AI32" s="94">
        <v>45931</v>
      </c>
      <c r="AJ32" s="94">
        <v>45962</v>
      </c>
      <c r="AK32" s="94">
        <v>45992</v>
      </c>
      <c r="AL32" s="94">
        <v>46023</v>
      </c>
      <c r="AM32" s="94">
        <v>46054</v>
      </c>
    </row>
    <row r="33" spans="1:39" s="90" customFormat="1" ht="15" x14ac:dyDescent="0.25">
      <c r="A33" s="95" t="s">
        <v>161</v>
      </c>
      <c r="B33" s="96">
        <v>11355.518446087079</v>
      </c>
      <c r="C33" s="96">
        <v>13336.560375603023</v>
      </c>
      <c r="D33" s="96">
        <v>15731.950847202455</v>
      </c>
      <c r="E33" s="96">
        <v>10210.978112775323</v>
      </c>
      <c r="F33" s="96">
        <v>24876.723741683167</v>
      </c>
      <c r="G33" s="96">
        <v>26998.486721919377</v>
      </c>
      <c r="H33" s="96">
        <v>28711.045642708868</v>
      </c>
      <c r="I33" s="96">
        <v>27983.489613032682</v>
      </c>
      <c r="J33" s="96">
        <v>24899.989375872658</v>
      </c>
      <c r="K33" s="96">
        <v>22840.047633790902</v>
      </c>
      <c r="L33" s="96">
        <v>21995.750856150589</v>
      </c>
      <c r="M33" s="96">
        <v>24332.002704162544</v>
      </c>
      <c r="N33" s="96">
        <v>30409.730091974194</v>
      </c>
      <c r="O33" s="96">
        <v>72342.817185186548</v>
      </c>
      <c r="P33" s="96">
        <v>65405.362164586462</v>
      </c>
      <c r="Q33" s="96">
        <v>52970.73385780544</v>
      </c>
      <c r="R33" s="96">
        <v>63669.509561172643</v>
      </c>
      <c r="S33" s="96">
        <v>77294.565832255059</v>
      </c>
      <c r="T33" s="96">
        <v>88052.686984723332</v>
      </c>
      <c r="U33" s="96">
        <v>84156.853267489001</v>
      </c>
      <c r="V33" s="96">
        <v>74012.973222206361</v>
      </c>
      <c r="W33" s="96">
        <v>88303.690360608627</v>
      </c>
      <c r="X33" s="96">
        <v>98878.380535117685</v>
      </c>
      <c r="Y33" s="96">
        <v>111152.44564911949</v>
      </c>
      <c r="Z33" s="96">
        <v>141821.15007110478</v>
      </c>
      <c r="AA33" s="96">
        <v>139845.8545885428</v>
      </c>
      <c r="AB33" s="96">
        <v>132133.61747307176</v>
      </c>
      <c r="AC33" s="96">
        <v>99761.475175344298</v>
      </c>
      <c r="AD33" s="96">
        <v>115631.72511309478</v>
      </c>
      <c r="AE33" s="96">
        <v>139241.42715636306</v>
      </c>
      <c r="AF33" s="96">
        <v>144840.80684781197</v>
      </c>
      <c r="AG33" s="96">
        <v>132182.68022556059</v>
      </c>
      <c r="AH33" s="96">
        <v>119746.51242257089</v>
      </c>
      <c r="AI33" s="96">
        <v>114564.18269540067</v>
      </c>
      <c r="AJ33" s="96">
        <v>135725.63518289267</v>
      </c>
      <c r="AK33" s="96">
        <v>172154.44628566515</v>
      </c>
      <c r="AL33" s="96">
        <v>92050.938044761395</v>
      </c>
      <c r="AM33" s="96">
        <v>0</v>
      </c>
    </row>
    <row r="34" spans="1:39" s="90" customFormat="1" ht="15" x14ac:dyDescent="0.25">
      <c r="A34" s="95" t="s">
        <v>162</v>
      </c>
      <c r="B34" s="127">
        <v>13230.347349882797</v>
      </c>
      <c r="C34" s="131">
        <v>10736.956628068319</v>
      </c>
      <c r="D34" s="131">
        <v>13349.329522098858</v>
      </c>
      <c r="E34" s="131">
        <v>6951.8044147968167</v>
      </c>
      <c r="F34" s="131">
        <v>8769.1150389669983</v>
      </c>
      <c r="G34" s="136">
        <v>12020.10495090881</v>
      </c>
      <c r="H34" s="127">
        <v>12965.996235260864</v>
      </c>
      <c r="I34" s="131">
        <v>11032.053354225502</v>
      </c>
      <c r="J34" s="131">
        <v>9861.9128110992697</v>
      </c>
      <c r="K34" s="131">
        <v>8671.3089514255826</v>
      </c>
      <c r="L34" s="131">
        <v>9939.7252592053792</v>
      </c>
      <c r="M34" s="136">
        <v>11203.676419141793</v>
      </c>
      <c r="N34" s="127">
        <v>12849.735475531159</v>
      </c>
      <c r="O34" s="131">
        <v>25721.835552416254</v>
      </c>
      <c r="P34" s="131">
        <v>21188.060856628275</v>
      </c>
      <c r="Q34" s="131">
        <v>16005.29852110825</v>
      </c>
      <c r="R34" s="131">
        <v>23738.202567201992</v>
      </c>
      <c r="S34" s="96">
        <v>61107.736416397762</v>
      </c>
      <c r="T34" s="96">
        <v>80035.794995913864</v>
      </c>
      <c r="U34" s="96">
        <v>69253.35909233526</v>
      </c>
      <c r="V34" s="96">
        <v>51805.355599751972</v>
      </c>
      <c r="W34" s="96">
        <v>55868.74017091206</v>
      </c>
      <c r="X34" s="96">
        <v>57306.14307079299</v>
      </c>
      <c r="Y34" s="96">
        <v>58329.836405086455</v>
      </c>
      <c r="Z34" s="96">
        <v>74537.403794860453</v>
      </c>
      <c r="AA34" s="96">
        <v>66765.499106806965</v>
      </c>
      <c r="AB34" s="96">
        <v>55849.630348052582</v>
      </c>
      <c r="AC34" s="96">
        <v>43376.308907779276</v>
      </c>
      <c r="AD34" s="96">
        <v>61882.791592436457</v>
      </c>
      <c r="AE34" s="96">
        <v>96227.38277865664</v>
      </c>
      <c r="AF34" s="96">
        <v>95080.547775588668</v>
      </c>
      <c r="AG34" s="96">
        <v>78527.543647737708</v>
      </c>
      <c r="AH34" s="96">
        <v>63290.750598880186</v>
      </c>
      <c r="AI34" s="96">
        <v>63708.385833140841</v>
      </c>
      <c r="AJ34" s="96">
        <v>77464.898766832834</v>
      </c>
      <c r="AK34" s="96">
        <v>107181.37344240314</v>
      </c>
      <c r="AL34" s="96">
        <v>52797.735318026294</v>
      </c>
      <c r="AM34" s="96">
        <v>0</v>
      </c>
    </row>
    <row r="35" spans="1:39" s="90" customFormat="1" ht="15" x14ac:dyDescent="0.25">
      <c r="A35" s="95" t="s">
        <v>163</v>
      </c>
      <c r="B35" s="128"/>
      <c r="C35" s="132"/>
      <c r="D35" s="132"/>
      <c r="E35" s="132"/>
      <c r="F35" s="132"/>
      <c r="G35" s="137"/>
      <c r="H35" s="128"/>
      <c r="I35" s="132"/>
      <c r="J35" s="132"/>
      <c r="K35" s="132"/>
      <c r="L35" s="132"/>
      <c r="M35" s="137"/>
      <c r="N35" s="128"/>
      <c r="O35" s="132"/>
      <c r="P35" s="132"/>
      <c r="Q35" s="132"/>
      <c r="R35" s="132"/>
      <c r="S35" s="96">
        <v>34125.709217910262</v>
      </c>
      <c r="T35" s="96">
        <v>53279.381222442476</v>
      </c>
      <c r="U35" s="96">
        <v>46200.763366969055</v>
      </c>
      <c r="V35" s="96">
        <v>29720.532537641036</v>
      </c>
      <c r="W35" s="96">
        <v>27933.856809868379</v>
      </c>
      <c r="X35" s="96">
        <v>28426.446702133188</v>
      </c>
      <c r="Y35" s="96">
        <v>31986.767821931575</v>
      </c>
      <c r="Z35" s="96">
        <v>49989.598429873811</v>
      </c>
      <c r="AA35" s="96">
        <v>50859.264976012419</v>
      </c>
      <c r="AB35" s="96">
        <v>41229.917929431031</v>
      </c>
      <c r="AC35" s="96">
        <v>22113.97992437311</v>
      </c>
      <c r="AD35" s="96">
        <v>29563.4151601835</v>
      </c>
      <c r="AE35" s="96">
        <v>41750.211293925866</v>
      </c>
      <c r="AF35" s="96">
        <v>45961.524170440789</v>
      </c>
      <c r="AG35" s="96">
        <v>36252.973873858151</v>
      </c>
      <c r="AH35" s="96">
        <v>28774.117640390268</v>
      </c>
      <c r="AI35" s="96">
        <v>25508.46180503404</v>
      </c>
      <c r="AJ35" s="96">
        <v>29085.330467822019</v>
      </c>
      <c r="AK35" s="96">
        <v>43802.829898477554</v>
      </c>
      <c r="AL35" s="96">
        <v>31580.529309444439</v>
      </c>
      <c r="AM35" s="96">
        <v>0</v>
      </c>
    </row>
    <row r="36" spans="1:39" s="90" customFormat="1" ht="15" x14ac:dyDescent="0.25">
      <c r="A36" s="95" t="s">
        <v>164</v>
      </c>
      <c r="B36" s="97">
        <v>3003.5300278063592</v>
      </c>
      <c r="C36" s="97">
        <v>3386.5232849548738</v>
      </c>
      <c r="D36" s="97">
        <v>3713.4388391922516</v>
      </c>
      <c r="E36" s="97">
        <v>2763.1908377081349</v>
      </c>
      <c r="F36" s="97">
        <v>2889.3890454565658</v>
      </c>
      <c r="G36" s="97">
        <v>3031.4523245004639</v>
      </c>
      <c r="H36" s="97">
        <v>3170.6194970282086</v>
      </c>
      <c r="I36" s="97">
        <v>2971.4166694884739</v>
      </c>
      <c r="J36" s="97">
        <v>2741.1241333710013</v>
      </c>
      <c r="K36" s="97">
        <v>2643.6362925296044</v>
      </c>
      <c r="L36" s="97">
        <v>2776.0010546463236</v>
      </c>
      <c r="M36" s="97">
        <v>3122.5863965382873</v>
      </c>
      <c r="N36" s="97">
        <v>3585.4885416865582</v>
      </c>
      <c r="O36" s="96">
        <v>6620.219846016339</v>
      </c>
      <c r="P36" s="96">
        <v>5947.7504789560453</v>
      </c>
      <c r="Q36" s="96">
        <v>4847.1363083128499</v>
      </c>
      <c r="R36" s="96">
        <v>5176.3508416665791</v>
      </c>
      <c r="S36" s="96">
        <v>18759.660384657273</v>
      </c>
      <c r="T36" s="96">
        <v>19722.841104690033</v>
      </c>
      <c r="U36" s="96">
        <v>19695.453845893069</v>
      </c>
      <c r="V36" s="96">
        <v>18035.833689251991</v>
      </c>
      <c r="W36" s="96">
        <v>19608.698828924258</v>
      </c>
      <c r="X36" s="96">
        <v>19892.416454053135</v>
      </c>
      <c r="Y36" s="96">
        <v>22384.420082385572</v>
      </c>
      <c r="Z36" s="96">
        <v>25436.425569359209</v>
      </c>
      <c r="AA36" s="96">
        <v>24645.169082181586</v>
      </c>
      <c r="AB36" s="96">
        <v>24171.290128515186</v>
      </c>
      <c r="AC36" s="96">
        <v>20171.291564639232</v>
      </c>
      <c r="AD36" s="96">
        <v>24514.924430384184</v>
      </c>
      <c r="AE36" s="96">
        <v>26916.302738185768</v>
      </c>
      <c r="AF36" s="96">
        <v>28174.813731604438</v>
      </c>
      <c r="AG36" s="96">
        <v>27231.973020047506</v>
      </c>
      <c r="AH36" s="96">
        <v>25684.167677893754</v>
      </c>
      <c r="AI36" s="96">
        <v>25433.081004599975</v>
      </c>
      <c r="AJ36" s="96">
        <v>30552.366725763168</v>
      </c>
      <c r="AK36" s="96">
        <v>34724.051342025326</v>
      </c>
      <c r="AL36" s="96">
        <v>17967.596040756045</v>
      </c>
      <c r="AM36" s="96">
        <v>0</v>
      </c>
    </row>
    <row r="37" spans="1:39" s="90" customFormat="1" ht="15" x14ac:dyDescent="0.25">
      <c r="A37" s="95" t="s">
        <v>165</v>
      </c>
      <c r="B37" s="97">
        <v>1609.4867402159591</v>
      </c>
      <c r="C37" s="97">
        <v>1931.0968473490639</v>
      </c>
      <c r="D37" s="97">
        <v>2642.0814872941291</v>
      </c>
      <c r="E37" s="97">
        <v>1080.0049126816627</v>
      </c>
      <c r="F37" s="97">
        <v>2267.2457709287787</v>
      </c>
      <c r="G37" s="97">
        <v>3079.5345832077583</v>
      </c>
      <c r="H37" s="97">
        <v>3625.5092402524861</v>
      </c>
      <c r="I37" s="97">
        <v>3280.3948019395721</v>
      </c>
      <c r="J37" s="97">
        <v>2619.2427974200755</v>
      </c>
      <c r="K37" s="97">
        <v>1902.5316540795504</v>
      </c>
      <c r="L37" s="97">
        <v>2016.4497856549103</v>
      </c>
      <c r="M37" s="97">
        <v>2135.7816003218963</v>
      </c>
      <c r="N37" s="97">
        <v>3495.1485675584481</v>
      </c>
      <c r="O37" s="96">
        <v>9414.4478472866595</v>
      </c>
      <c r="P37" s="96">
        <v>9196.3515557991377</v>
      </c>
      <c r="Q37" s="96">
        <v>5787.1536789233105</v>
      </c>
      <c r="R37" s="96">
        <v>7249.4556775730807</v>
      </c>
      <c r="S37" s="96">
        <v>14519.761057661442</v>
      </c>
      <c r="T37" s="96">
        <v>22452.8253255081</v>
      </c>
      <c r="U37" s="96">
        <v>20104.79092794787</v>
      </c>
      <c r="V37" s="96">
        <v>14739.360222046696</v>
      </c>
      <c r="W37" s="96">
        <v>14388.274390169672</v>
      </c>
      <c r="X37" s="96">
        <v>15738.55362935562</v>
      </c>
      <c r="Y37" s="96">
        <v>20763.204943039491</v>
      </c>
      <c r="Z37" s="96">
        <v>35046.016339464841</v>
      </c>
      <c r="AA37" s="96">
        <v>35246.748858519873</v>
      </c>
      <c r="AB37" s="96">
        <v>30992.827838059358</v>
      </c>
      <c r="AC37" s="96">
        <v>17091.496792320249</v>
      </c>
      <c r="AD37" s="96">
        <v>19755.899512317967</v>
      </c>
      <c r="AE37" s="96">
        <v>26755.614745602099</v>
      </c>
      <c r="AF37" s="96">
        <v>29852.786935791599</v>
      </c>
      <c r="AG37" s="96">
        <v>24757.133227956638</v>
      </c>
      <c r="AH37" s="96">
        <v>19782.549676895585</v>
      </c>
      <c r="AI37" s="96">
        <v>17394.94822941221</v>
      </c>
      <c r="AJ37" s="96">
        <v>19871.113179737564</v>
      </c>
      <c r="AK37" s="96">
        <v>33108.117962734308</v>
      </c>
      <c r="AL37" s="96">
        <v>19536.294632384241</v>
      </c>
      <c r="AM37" s="96">
        <v>0</v>
      </c>
    </row>
    <row r="38" spans="1:39" s="90" customFormat="1" ht="15" x14ac:dyDescent="0.25">
      <c r="A38" s="95" t="s">
        <v>166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Z38" s="96">
        <v>0</v>
      </c>
      <c r="AA38" s="96">
        <v>0</v>
      </c>
      <c r="AB38" s="96">
        <v>0</v>
      </c>
      <c r="AC38" s="96">
        <v>0</v>
      </c>
      <c r="AD38" s="96">
        <v>0</v>
      </c>
      <c r="AE38" s="96">
        <v>0</v>
      </c>
      <c r="AF38" s="96">
        <v>0</v>
      </c>
      <c r="AG38" s="96">
        <v>0</v>
      </c>
      <c r="AH38" s="96">
        <v>0</v>
      </c>
      <c r="AI38" s="96">
        <v>0</v>
      </c>
      <c r="AJ38" s="96">
        <v>0</v>
      </c>
      <c r="AK38" s="96">
        <v>0</v>
      </c>
      <c r="AL38" s="96">
        <v>0</v>
      </c>
      <c r="AM38" s="96">
        <v>0</v>
      </c>
    </row>
    <row r="39" spans="1:39" s="90" customFormat="1" ht="15" x14ac:dyDescent="0.25">
      <c r="A39" s="95" t="s">
        <v>183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>
        <v>46795.187694066546</v>
      </c>
      <c r="AM39" s="119">
        <v>98129.074700749494</v>
      </c>
    </row>
    <row r="40" spans="1:39" s="90" customFormat="1" ht="15" x14ac:dyDescent="0.25">
      <c r="A40" s="95" t="s">
        <v>184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>
        <v>36951.74023496615</v>
      </c>
      <c r="AM40" s="119">
        <v>78038.317756631965</v>
      </c>
    </row>
    <row r="41" spans="1:39" s="90" customFormat="1" ht="15" x14ac:dyDescent="0.25">
      <c r="A41" s="95" t="s">
        <v>185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>
        <v>96392.220114905736</v>
      </c>
      <c r="AM41" s="119">
        <v>205117.2520581623</v>
      </c>
    </row>
    <row r="42" spans="1:39" s="90" customFormat="1" ht="15" x14ac:dyDescent="0.25">
      <c r="A42" s="98" t="s">
        <v>186</v>
      </c>
      <c r="B42" s="99">
        <f>+B34+B36</f>
        <v>16233.877377689156</v>
      </c>
      <c r="C42" s="99">
        <f t="shared" ref="C42:R42" si="25">+C34+C36</f>
        <v>14123.479913023193</v>
      </c>
      <c r="D42" s="99">
        <f t="shared" si="25"/>
        <v>17062.76836129111</v>
      </c>
      <c r="E42" s="99">
        <f t="shared" si="25"/>
        <v>9714.9952525049521</v>
      </c>
      <c r="F42" s="99">
        <f t="shared" si="25"/>
        <v>11658.504084423565</v>
      </c>
      <c r="G42" s="99">
        <f t="shared" si="25"/>
        <v>15051.557275409274</v>
      </c>
      <c r="H42" s="99">
        <f t="shared" si="25"/>
        <v>16136.615732289072</v>
      </c>
      <c r="I42" s="99">
        <f t="shared" si="25"/>
        <v>14003.470023713975</v>
      </c>
      <c r="J42" s="99">
        <f t="shared" si="25"/>
        <v>12603.03694447027</v>
      </c>
      <c r="K42" s="99">
        <f t="shared" si="25"/>
        <v>11314.945243955186</v>
      </c>
      <c r="L42" s="99">
        <f t="shared" si="25"/>
        <v>12715.726313851703</v>
      </c>
      <c r="M42" s="99">
        <f t="shared" si="25"/>
        <v>14326.26281568008</v>
      </c>
      <c r="N42" s="99">
        <f t="shared" si="25"/>
        <v>16435.224017217719</v>
      </c>
      <c r="O42" s="99">
        <f t="shared" si="25"/>
        <v>32342.055398432592</v>
      </c>
      <c r="P42" s="99">
        <f t="shared" si="25"/>
        <v>27135.81133558432</v>
      </c>
      <c r="Q42" s="99">
        <f t="shared" si="25"/>
        <v>20852.434829421101</v>
      </c>
      <c r="R42" s="99">
        <f t="shared" si="25"/>
        <v>28914.553408868571</v>
      </c>
      <c r="S42" s="99">
        <f>+S34+S36+S39</f>
        <v>79867.396801055031</v>
      </c>
      <c r="T42" s="99">
        <f t="shared" ref="T42:U42" si="26">+T34+T36+T39</f>
        <v>99758.636100603893</v>
      </c>
      <c r="U42" s="99">
        <f t="shared" si="26"/>
        <v>88948.812938228337</v>
      </c>
      <c r="V42" s="99">
        <f>+V34+V36+V39</f>
        <v>69841.18928900396</v>
      </c>
      <c r="W42" s="99">
        <f t="shared" ref="W42:AL42" si="27">+W34+W36+W39</f>
        <v>75477.438999836319</v>
      </c>
      <c r="X42" s="99">
        <f t="shared" si="27"/>
        <v>77198.559524846118</v>
      </c>
      <c r="Y42" s="99">
        <f t="shared" si="27"/>
        <v>80714.256487472026</v>
      </c>
      <c r="Z42" s="99">
        <f t="shared" si="27"/>
        <v>99973.829364219666</v>
      </c>
      <c r="AA42" s="99">
        <f t="shared" si="27"/>
        <v>91410.668188988551</v>
      </c>
      <c r="AB42" s="99">
        <f t="shared" si="27"/>
        <v>80020.920476567771</v>
      </c>
      <c r="AC42" s="99">
        <f t="shared" si="27"/>
        <v>63547.600472418504</v>
      </c>
      <c r="AD42" s="99">
        <f t="shared" si="27"/>
        <v>86397.716022820649</v>
      </c>
      <c r="AE42" s="99">
        <f t="shared" si="27"/>
        <v>123143.68551684241</v>
      </c>
      <c r="AF42" s="99">
        <f t="shared" si="27"/>
        <v>123255.3615071931</v>
      </c>
      <c r="AG42" s="99">
        <f t="shared" si="27"/>
        <v>105759.51666778521</v>
      </c>
      <c r="AH42" s="99">
        <f t="shared" si="27"/>
        <v>88974.91827677394</v>
      </c>
      <c r="AI42" s="99">
        <f t="shared" si="27"/>
        <v>89141.466837740823</v>
      </c>
      <c r="AJ42" s="99">
        <f t="shared" si="27"/>
        <v>108017.26549259599</v>
      </c>
      <c r="AK42" s="99">
        <f t="shared" si="27"/>
        <v>141905.42478442847</v>
      </c>
      <c r="AL42" s="99">
        <f t="shared" si="27"/>
        <v>117560.51905284889</v>
      </c>
      <c r="AM42" s="99">
        <f t="shared" ref="AM42" si="28">+AM34+AM36+AM39</f>
        <v>98129.074700749494</v>
      </c>
    </row>
    <row r="43" spans="1:39" s="90" customFormat="1" ht="15" x14ac:dyDescent="0.25">
      <c r="A43" s="98" t="s">
        <v>187</v>
      </c>
      <c r="B43" s="120">
        <f>+B37</f>
        <v>1609.4867402159591</v>
      </c>
      <c r="C43" s="120">
        <f t="shared" ref="C43:R43" si="29">+C37</f>
        <v>1931.0968473490639</v>
      </c>
      <c r="D43" s="120">
        <f t="shared" si="29"/>
        <v>2642.0814872941291</v>
      </c>
      <c r="E43" s="120">
        <f t="shared" si="29"/>
        <v>1080.0049126816627</v>
      </c>
      <c r="F43" s="120">
        <f t="shared" si="29"/>
        <v>2267.2457709287787</v>
      </c>
      <c r="G43" s="120">
        <f t="shared" si="29"/>
        <v>3079.5345832077583</v>
      </c>
      <c r="H43" s="120">
        <f t="shared" si="29"/>
        <v>3625.5092402524861</v>
      </c>
      <c r="I43" s="120">
        <f t="shared" si="29"/>
        <v>3280.3948019395721</v>
      </c>
      <c r="J43" s="120">
        <f t="shared" si="29"/>
        <v>2619.2427974200755</v>
      </c>
      <c r="K43" s="120">
        <f t="shared" si="29"/>
        <v>1902.5316540795504</v>
      </c>
      <c r="L43" s="120">
        <f t="shared" si="29"/>
        <v>2016.4497856549103</v>
      </c>
      <c r="M43" s="120">
        <f t="shared" si="29"/>
        <v>2135.7816003218963</v>
      </c>
      <c r="N43" s="120">
        <f t="shared" si="29"/>
        <v>3495.1485675584481</v>
      </c>
      <c r="O43" s="120">
        <f t="shared" si="29"/>
        <v>9414.4478472866595</v>
      </c>
      <c r="P43" s="120">
        <f t="shared" si="29"/>
        <v>9196.3515557991377</v>
      </c>
      <c r="Q43" s="120">
        <f t="shared" si="29"/>
        <v>5787.1536789233105</v>
      </c>
      <c r="R43" s="120">
        <f t="shared" si="29"/>
        <v>7249.4556775730807</v>
      </c>
      <c r="S43" s="120">
        <f>+S37+S35+S40</f>
        <v>48645.470275571701</v>
      </c>
      <c r="T43" s="120">
        <f t="shared" ref="T43:U43" si="30">+T37+T35+T40</f>
        <v>75732.206547950569</v>
      </c>
      <c r="U43" s="120">
        <f t="shared" si="30"/>
        <v>66305.554294916918</v>
      </c>
      <c r="V43" s="120">
        <f>+V37+V35+V40</f>
        <v>44459.892759687733</v>
      </c>
      <c r="W43" s="120">
        <f t="shared" ref="W43:AL43" si="31">+W37+W35+W40</f>
        <v>42322.131200038049</v>
      </c>
      <c r="X43" s="120">
        <f t="shared" si="31"/>
        <v>44165.000331488809</v>
      </c>
      <c r="Y43" s="120">
        <f t="shared" si="31"/>
        <v>52749.972764971069</v>
      </c>
      <c r="Z43" s="120">
        <f t="shared" si="31"/>
        <v>85035.614769338659</v>
      </c>
      <c r="AA43" s="120">
        <f t="shared" si="31"/>
        <v>86106.013834532292</v>
      </c>
      <c r="AB43" s="120">
        <f t="shared" si="31"/>
        <v>72222.745767490385</v>
      </c>
      <c r="AC43" s="120">
        <f t="shared" si="31"/>
        <v>39205.47671669336</v>
      </c>
      <c r="AD43" s="120">
        <f t="shared" si="31"/>
        <v>49319.314672501467</v>
      </c>
      <c r="AE43" s="120">
        <f t="shared" si="31"/>
        <v>68505.826039527965</v>
      </c>
      <c r="AF43" s="120">
        <f t="shared" si="31"/>
        <v>75814.311106232388</v>
      </c>
      <c r="AG43" s="120">
        <f t="shared" si="31"/>
        <v>61010.107101814792</v>
      </c>
      <c r="AH43" s="120">
        <f t="shared" si="31"/>
        <v>48556.667317285857</v>
      </c>
      <c r="AI43" s="120">
        <f t="shared" si="31"/>
        <v>42903.410034446249</v>
      </c>
      <c r="AJ43" s="120">
        <f t="shared" si="31"/>
        <v>48956.443647559587</v>
      </c>
      <c r="AK43" s="120">
        <f t="shared" si="31"/>
        <v>76910.947861211869</v>
      </c>
      <c r="AL43" s="120">
        <f t="shared" si="31"/>
        <v>88068.56417679484</v>
      </c>
      <c r="AM43" s="120">
        <f t="shared" ref="AM43" si="32">+AM37+AM35+AM40</f>
        <v>78038.317756631965</v>
      </c>
    </row>
    <row r="44" spans="1:39" s="90" customFormat="1" ht="15" x14ac:dyDescent="0.25">
      <c r="A44" s="98" t="s">
        <v>188</v>
      </c>
      <c r="B44" s="120">
        <f>+B33+B41</f>
        <v>11355.518446087079</v>
      </c>
      <c r="C44" s="120">
        <f t="shared" ref="C44:R44" si="33">+C33+C41</f>
        <v>13336.560375603023</v>
      </c>
      <c r="D44" s="120">
        <f t="shared" si="33"/>
        <v>15731.950847202455</v>
      </c>
      <c r="E44" s="120">
        <f t="shared" si="33"/>
        <v>10210.978112775323</v>
      </c>
      <c r="F44" s="120">
        <f t="shared" si="33"/>
        <v>24876.723741683167</v>
      </c>
      <c r="G44" s="120">
        <f t="shared" si="33"/>
        <v>26998.486721919377</v>
      </c>
      <c r="H44" s="120">
        <f t="shared" si="33"/>
        <v>28711.045642708868</v>
      </c>
      <c r="I44" s="120">
        <f t="shared" si="33"/>
        <v>27983.489613032682</v>
      </c>
      <c r="J44" s="120">
        <f t="shared" si="33"/>
        <v>24899.989375872658</v>
      </c>
      <c r="K44" s="120">
        <f t="shared" si="33"/>
        <v>22840.047633790902</v>
      </c>
      <c r="L44" s="120">
        <f t="shared" si="33"/>
        <v>21995.750856150589</v>
      </c>
      <c r="M44" s="120">
        <f t="shared" si="33"/>
        <v>24332.002704162544</v>
      </c>
      <c r="N44" s="120">
        <f t="shared" si="33"/>
        <v>30409.730091974194</v>
      </c>
      <c r="O44" s="120">
        <f t="shared" si="33"/>
        <v>72342.817185186548</v>
      </c>
      <c r="P44" s="120">
        <f t="shared" si="33"/>
        <v>65405.362164586462</v>
      </c>
      <c r="Q44" s="120">
        <f t="shared" si="33"/>
        <v>52970.73385780544</v>
      </c>
      <c r="R44" s="120">
        <f t="shared" si="33"/>
        <v>63669.509561172643</v>
      </c>
      <c r="S44" s="120">
        <f>+S33+S41</f>
        <v>77294.565832255059</v>
      </c>
      <c r="T44" s="120">
        <f t="shared" ref="T44:U44" si="34">+T33+T41</f>
        <v>88052.686984723332</v>
      </c>
      <c r="U44" s="120">
        <f t="shared" si="34"/>
        <v>84156.853267489001</v>
      </c>
      <c r="V44" s="120">
        <f>+V33+V41</f>
        <v>74012.973222206361</v>
      </c>
      <c r="W44" s="120">
        <f t="shared" ref="W44:AL44" si="35">+W33+W41</f>
        <v>88303.690360608627</v>
      </c>
      <c r="X44" s="120">
        <f t="shared" si="35"/>
        <v>98878.380535117685</v>
      </c>
      <c r="Y44" s="120">
        <f t="shared" si="35"/>
        <v>111152.44564911949</v>
      </c>
      <c r="Z44" s="120">
        <f t="shared" si="35"/>
        <v>141821.15007110478</v>
      </c>
      <c r="AA44" s="120">
        <f t="shared" si="35"/>
        <v>139845.8545885428</v>
      </c>
      <c r="AB44" s="120">
        <f t="shared" si="35"/>
        <v>132133.61747307176</v>
      </c>
      <c r="AC44" s="120">
        <f t="shared" si="35"/>
        <v>99761.475175344298</v>
      </c>
      <c r="AD44" s="120">
        <f t="shared" si="35"/>
        <v>115631.72511309478</v>
      </c>
      <c r="AE44" s="120">
        <f t="shared" si="35"/>
        <v>139241.42715636306</v>
      </c>
      <c r="AF44" s="120">
        <f t="shared" si="35"/>
        <v>144840.80684781197</v>
      </c>
      <c r="AG44" s="120">
        <f t="shared" si="35"/>
        <v>132182.68022556059</v>
      </c>
      <c r="AH44" s="120">
        <f t="shared" si="35"/>
        <v>119746.51242257089</v>
      </c>
      <c r="AI44" s="120">
        <f t="shared" si="35"/>
        <v>114564.18269540067</v>
      </c>
      <c r="AJ44" s="120">
        <f t="shared" si="35"/>
        <v>135725.63518289267</v>
      </c>
      <c r="AK44" s="120">
        <f t="shared" si="35"/>
        <v>172154.44628566515</v>
      </c>
      <c r="AL44" s="120">
        <f t="shared" si="35"/>
        <v>188443.15815966713</v>
      </c>
      <c r="AM44" s="120">
        <f t="shared" ref="AM44" si="36">+AM33+AM41</f>
        <v>205117.2520581623</v>
      </c>
    </row>
    <row r="45" spans="1:39" s="90" customFormat="1" ht="15" x14ac:dyDescent="0.25">
      <c r="A45" s="98" t="s">
        <v>166</v>
      </c>
      <c r="B45" s="120">
        <f>+B38</f>
        <v>0</v>
      </c>
      <c r="C45" s="120">
        <f t="shared" ref="C45:R45" si="37">+C38</f>
        <v>0</v>
      </c>
      <c r="D45" s="120">
        <f t="shared" si="37"/>
        <v>0</v>
      </c>
      <c r="E45" s="120">
        <f t="shared" si="37"/>
        <v>0</v>
      </c>
      <c r="F45" s="120">
        <f t="shared" si="37"/>
        <v>0</v>
      </c>
      <c r="G45" s="120">
        <f t="shared" si="37"/>
        <v>0</v>
      </c>
      <c r="H45" s="120">
        <f t="shared" si="37"/>
        <v>0</v>
      </c>
      <c r="I45" s="120">
        <f t="shared" si="37"/>
        <v>0</v>
      </c>
      <c r="J45" s="120">
        <f t="shared" si="37"/>
        <v>0</v>
      </c>
      <c r="K45" s="120">
        <f t="shared" si="37"/>
        <v>0</v>
      </c>
      <c r="L45" s="120">
        <f t="shared" si="37"/>
        <v>0</v>
      </c>
      <c r="M45" s="120">
        <f t="shared" si="37"/>
        <v>0</v>
      </c>
      <c r="N45" s="120">
        <f t="shared" si="37"/>
        <v>0</v>
      </c>
      <c r="O45" s="120">
        <f t="shared" si="37"/>
        <v>0</v>
      </c>
      <c r="P45" s="120">
        <f t="shared" si="37"/>
        <v>0</v>
      </c>
      <c r="Q45" s="120">
        <f t="shared" si="37"/>
        <v>0</v>
      </c>
      <c r="R45" s="120">
        <f t="shared" si="37"/>
        <v>0</v>
      </c>
      <c r="S45" s="120">
        <f>+S38</f>
        <v>0</v>
      </c>
      <c r="T45" s="120">
        <f t="shared" ref="T45:U45" si="38">+T38</f>
        <v>0</v>
      </c>
      <c r="U45" s="120">
        <f t="shared" si="38"/>
        <v>0</v>
      </c>
      <c r="V45" s="120">
        <f>+V38</f>
        <v>0</v>
      </c>
      <c r="W45" s="120">
        <f t="shared" ref="W45:AL45" si="39">+W38</f>
        <v>0</v>
      </c>
      <c r="X45" s="120">
        <f t="shared" si="39"/>
        <v>0</v>
      </c>
      <c r="Y45" s="120">
        <f t="shared" si="39"/>
        <v>0</v>
      </c>
      <c r="Z45" s="120">
        <f t="shared" si="39"/>
        <v>0</v>
      </c>
      <c r="AA45" s="120">
        <f t="shared" si="39"/>
        <v>0</v>
      </c>
      <c r="AB45" s="120">
        <f t="shared" si="39"/>
        <v>0</v>
      </c>
      <c r="AC45" s="120">
        <f t="shared" si="39"/>
        <v>0</v>
      </c>
      <c r="AD45" s="120">
        <f t="shared" si="39"/>
        <v>0</v>
      </c>
      <c r="AE45" s="120">
        <f t="shared" si="39"/>
        <v>0</v>
      </c>
      <c r="AF45" s="120">
        <f t="shared" si="39"/>
        <v>0</v>
      </c>
      <c r="AG45" s="120">
        <f t="shared" si="39"/>
        <v>0</v>
      </c>
      <c r="AH45" s="120">
        <f t="shared" si="39"/>
        <v>0</v>
      </c>
      <c r="AI45" s="120">
        <f t="shared" si="39"/>
        <v>0</v>
      </c>
      <c r="AJ45" s="120">
        <f t="shared" si="39"/>
        <v>0</v>
      </c>
      <c r="AK45" s="120">
        <f t="shared" si="39"/>
        <v>0</v>
      </c>
      <c r="AL45" s="120">
        <f t="shared" si="39"/>
        <v>0</v>
      </c>
      <c r="AM45" s="120">
        <f t="shared" ref="AM45" si="40">+AM38</f>
        <v>0</v>
      </c>
    </row>
    <row r="46" spans="1:39" s="90" customFormat="1" ht="15" x14ac:dyDescent="0.25">
      <c r="A46" s="121" t="s">
        <v>189</v>
      </c>
      <c r="B46" s="122">
        <f>+SUM(B42:B45)</f>
        <v>29198.882563992192</v>
      </c>
      <c r="C46" s="122">
        <f t="shared" ref="C46:AL46" si="41">+SUM(C42:C45)</f>
        <v>29391.137135975281</v>
      </c>
      <c r="D46" s="122">
        <f t="shared" si="41"/>
        <v>35436.800695787693</v>
      </c>
      <c r="E46" s="122">
        <f t="shared" si="41"/>
        <v>21005.978277961938</v>
      </c>
      <c r="F46" s="122">
        <f t="shared" si="41"/>
        <v>38802.47359703551</v>
      </c>
      <c r="G46" s="122">
        <f t="shared" si="41"/>
        <v>45129.578580536407</v>
      </c>
      <c r="H46" s="122">
        <f t="shared" si="41"/>
        <v>48473.170615250427</v>
      </c>
      <c r="I46" s="122">
        <f t="shared" si="41"/>
        <v>45267.354438686227</v>
      </c>
      <c r="J46" s="122">
        <f t="shared" si="41"/>
        <v>40122.269117763004</v>
      </c>
      <c r="K46" s="122">
        <f t="shared" si="41"/>
        <v>36057.524531825635</v>
      </c>
      <c r="L46" s="122">
        <f t="shared" si="41"/>
        <v>36727.926955657204</v>
      </c>
      <c r="M46" s="122">
        <f t="shared" si="41"/>
        <v>40794.04712016452</v>
      </c>
      <c r="N46" s="122">
        <f t="shared" si="41"/>
        <v>50340.102676750364</v>
      </c>
      <c r="O46" s="122">
        <f t="shared" si="41"/>
        <v>114099.32043090579</v>
      </c>
      <c r="P46" s="122">
        <f t="shared" si="41"/>
        <v>101737.52505596992</v>
      </c>
      <c r="Q46" s="122">
        <f t="shared" si="41"/>
        <v>79610.322366149849</v>
      </c>
      <c r="R46" s="122">
        <f t="shared" si="41"/>
        <v>99833.518647614284</v>
      </c>
      <c r="S46" s="122">
        <f t="shared" si="41"/>
        <v>205807.4329088818</v>
      </c>
      <c r="T46" s="122">
        <f t="shared" si="41"/>
        <v>263543.52963327779</v>
      </c>
      <c r="U46" s="122">
        <f t="shared" si="41"/>
        <v>239411.22050063426</v>
      </c>
      <c r="V46" s="122">
        <f t="shared" si="41"/>
        <v>188314.05527089804</v>
      </c>
      <c r="W46" s="122">
        <f t="shared" si="41"/>
        <v>206103.260560483</v>
      </c>
      <c r="X46" s="122">
        <f t="shared" si="41"/>
        <v>220241.94039145263</v>
      </c>
      <c r="Y46" s="122">
        <f t="shared" si="41"/>
        <v>244616.67490156257</v>
      </c>
      <c r="Z46" s="122">
        <f t="shared" si="41"/>
        <v>326830.59420466307</v>
      </c>
      <c r="AA46" s="122">
        <f t="shared" si="41"/>
        <v>317362.53661206365</v>
      </c>
      <c r="AB46" s="122">
        <f t="shared" si="41"/>
        <v>284377.28371712996</v>
      </c>
      <c r="AC46" s="122">
        <f t="shared" si="41"/>
        <v>202514.55236445618</v>
      </c>
      <c r="AD46" s="122">
        <f t="shared" si="41"/>
        <v>251348.7558084169</v>
      </c>
      <c r="AE46" s="122">
        <f t="shared" si="41"/>
        <v>330890.93871273345</v>
      </c>
      <c r="AF46" s="122">
        <f t="shared" si="41"/>
        <v>343910.47946123744</v>
      </c>
      <c r="AG46" s="122">
        <f t="shared" si="41"/>
        <v>298952.30399516062</v>
      </c>
      <c r="AH46" s="122">
        <f t="shared" si="41"/>
        <v>257278.09801663068</v>
      </c>
      <c r="AI46" s="122">
        <f t="shared" si="41"/>
        <v>246609.05956758774</v>
      </c>
      <c r="AJ46" s="122">
        <f t="shared" si="41"/>
        <v>292699.34432304825</v>
      </c>
      <c r="AK46" s="122">
        <f t="shared" si="41"/>
        <v>390970.81893130549</v>
      </c>
      <c r="AL46" s="122">
        <f t="shared" si="41"/>
        <v>394072.24138931086</v>
      </c>
      <c r="AM46" s="122">
        <f t="shared" ref="AM46" si="42">+SUM(AM42:AM45)</f>
        <v>381284.64451554377</v>
      </c>
    </row>
    <row r="47" spans="1:39" s="90" customFormat="1" ht="15" x14ac:dyDescent="0.25">
      <c r="A47" s="95" t="s">
        <v>167</v>
      </c>
      <c r="B47" s="97">
        <v>7.5475382775803554</v>
      </c>
      <c r="C47" s="97">
        <v>8.0791347125474609</v>
      </c>
      <c r="D47" s="97">
        <v>39.33903589939527</v>
      </c>
      <c r="E47" s="97">
        <v>35.698422864841824</v>
      </c>
      <c r="F47" s="97">
        <v>33.894788428356343</v>
      </c>
      <c r="G47" s="97">
        <v>32.813366983225407</v>
      </c>
      <c r="H47" s="97">
        <v>37.81716021351594</v>
      </c>
      <c r="I47" s="97">
        <v>44.754414606490883</v>
      </c>
      <c r="J47" s="97">
        <v>57.949245549784443</v>
      </c>
      <c r="K47" s="97">
        <v>66.78177509209479</v>
      </c>
      <c r="L47" s="97">
        <v>73.386839631786714</v>
      </c>
      <c r="M47" s="97">
        <v>86.268841640863883</v>
      </c>
      <c r="N47" s="97">
        <v>99.041083397223545</v>
      </c>
      <c r="O47" s="96">
        <v>240.15566862122347</v>
      </c>
      <c r="P47" s="96">
        <v>193.73099179331336</v>
      </c>
      <c r="Q47" s="96">
        <v>98.278834575071144</v>
      </c>
      <c r="R47" s="96">
        <v>79.216821719756965</v>
      </c>
      <c r="S47" s="96">
        <v>167.97296199347906</v>
      </c>
      <c r="T47" s="96">
        <v>173.12968288582459</v>
      </c>
      <c r="U47" s="96">
        <v>396.35946789607118</v>
      </c>
      <c r="V47" s="96">
        <v>383.4797153351256</v>
      </c>
      <c r="W47" s="96">
        <v>408.29504060309489</v>
      </c>
      <c r="X47" s="96">
        <v>430.55696481523876</v>
      </c>
      <c r="Y47" s="96">
        <v>450.49564209745159</v>
      </c>
      <c r="Z47" s="96">
        <v>466.95609306822217</v>
      </c>
      <c r="AA47" s="96">
        <v>496.48980615316196</v>
      </c>
      <c r="AB47" s="96">
        <v>534.96734169946239</v>
      </c>
      <c r="AC47" s="96">
        <v>463.45570022319919</v>
      </c>
      <c r="AD47" s="96">
        <v>513.0705515278961</v>
      </c>
      <c r="AE47" s="96">
        <v>544.96798251392681</v>
      </c>
      <c r="AF47" s="96">
        <v>580.0675244323055</v>
      </c>
      <c r="AG47" s="96">
        <v>593.75410792026616</v>
      </c>
      <c r="AH47" s="96">
        <v>608.17517585494522</v>
      </c>
      <c r="AI47" s="96">
        <v>560.36704347471345</v>
      </c>
      <c r="AJ47" s="96">
        <v>687.86118335363358</v>
      </c>
      <c r="AK47" s="96">
        <v>704.52047068740967</v>
      </c>
      <c r="AL47" s="96">
        <v>737.16005080832917</v>
      </c>
      <c r="AM47" s="96">
        <v>659.47440396302261</v>
      </c>
    </row>
    <row r="48" spans="1:39" s="90" customFormat="1" ht="15" x14ac:dyDescent="0.25">
      <c r="A48" s="95" t="s">
        <v>168</v>
      </c>
      <c r="B48" s="133">
        <v>28186.341772303585</v>
      </c>
      <c r="C48" s="100">
        <v>6734.2678429260159</v>
      </c>
      <c r="D48" s="100">
        <v>7664.7094962768051</v>
      </c>
      <c r="E48" s="100">
        <v>6427.9518012592107</v>
      </c>
      <c r="F48" s="100">
        <v>5260.9309067659306</v>
      </c>
      <c r="G48" s="100">
        <v>5354.6429515443351</v>
      </c>
      <c r="H48" s="100">
        <v>5576.75620522397</v>
      </c>
      <c r="I48" s="100">
        <v>6323.3010660136233</v>
      </c>
      <c r="J48" s="100">
        <v>6076.1839793781219</v>
      </c>
      <c r="K48" s="100">
        <v>6139.3795833626382</v>
      </c>
      <c r="L48" s="100">
        <v>6284.7645609147903</v>
      </c>
      <c r="M48" s="100">
        <v>6582.3087289991536</v>
      </c>
      <c r="N48" s="100">
        <v>7203.5264565134103</v>
      </c>
      <c r="O48" s="96">
        <v>37629.746732087631</v>
      </c>
      <c r="P48" s="96">
        <v>37381.516394820341</v>
      </c>
      <c r="Q48" s="96">
        <v>31586.300129831994</v>
      </c>
      <c r="R48" s="96">
        <v>35246.468901749206</v>
      </c>
      <c r="S48" s="96">
        <v>44675.620188928544</v>
      </c>
      <c r="T48" s="96">
        <v>48915.428614743752</v>
      </c>
      <c r="U48" s="96">
        <v>48239.180305576199</v>
      </c>
      <c r="V48" s="96">
        <v>46790.10239401237</v>
      </c>
      <c r="W48" s="96">
        <v>51327.125518281406</v>
      </c>
      <c r="X48" s="96">
        <v>52446.309697377925</v>
      </c>
      <c r="Y48" s="96">
        <v>55301.601182918974</v>
      </c>
      <c r="Z48" s="96">
        <v>61184.237030183082</v>
      </c>
      <c r="AA48" s="96">
        <v>59308.944177315811</v>
      </c>
      <c r="AB48" s="96">
        <v>57109.010221545628</v>
      </c>
      <c r="AC48" s="96">
        <v>47418.235361925879</v>
      </c>
      <c r="AD48" s="96">
        <v>53110.053845542134</v>
      </c>
      <c r="AE48" s="96">
        <v>57901.505510619631</v>
      </c>
      <c r="AF48" s="96">
        <v>59057.904131751769</v>
      </c>
      <c r="AG48" s="96">
        <v>55578.931149180891</v>
      </c>
      <c r="AH48" s="96">
        <v>55102.693882899446</v>
      </c>
      <c r="AI48" s="96">
        <v>55469.921605378549</v>
      </c>
      <c r="AJ48" s="96">
        <v>58372.6540697159</v>
      </c>
      <c r="AK48" s="96">
        <v>62473.929196695535</v>
      </c>
      <c r="AL48" s="96">
        <v>63488.730786535445</v>
      </c>
      <c r="AM48" s="96">
        <v>0</v>
      </c>
    </row>
    <row r="49" spans="1:39" s="90" customFormat="1" ht="15" x14ac:dyDescent="0.25">
      <c r="A49" s="95" t="s">
        <v>169</v>
      </c>
      <c r="B49" s="134"/>
      <c r="C49" s="100">
        <v>5778.3568282272827</v>
      </c>
      <c r="D49" s="100">
        <v>6556.5315954396465</v>
      </c>
      <c r="E49" s="100">
        <v>5050.8045310166008</v>
      </c>
      <c r="F49" s="100">
        <v>5594.2852596863504</v>
      </c>
      <c r="G49" s="100">
        <v>5636.9908628789108</v>
      </c>
      <c r="H49" s="100">
        <v>5851.2054475195282</v>
      </c>
      <c r="I49" s="100">
        <v>6603.8770753216377</v>
      </c>
      <c r="J49" s="100">
        <v>6199.8458233365855</v>
      </c>
      <c r="K49" s="100">
        <v>6180.6565643682425</v>
      </c>
      <c r="L49" s="100">
        <v>7055.4997604552264</v>
      </c>
      <c r="M49" s="100">
        <v>8032.8880721645683</v>
      </c>
      <c r="N49" s="100">
        <v>9047.6894682104812</v>
      </c>
      <c r="O49" s="96">
        <v>27766.322973780607</v>
      </c>
      <c r="P49" s="96">
        <v>26777.238016131207</v>
      </c>
      <c r="Q49" s="96">
        <v>20573.286096722411</v>
      </c>
      <c r="R49" s="96">
        <v>21803.92430051772</v>
      </c>
      <c r="S49" s="96">
        <v>27238.610641967294</v>
      </c>
      <c r="T49" s="96">
        <v>30195.115290753638</v>
      </c>
      <c r="U49" s="96">
        <v>30161.816681756947</v>
      </c>
      <c r="V49" s="96">
        <v>28230.684491092874</v>
      </c>
      <c r="W49" s="96">
        <v>31950.133729280264</v>
      </c>
      <c r="X49" s="96">
        <v>35718.658664785973</v>
      </c>
      <c r="Y49" s="96">
        <v>39740.290693233357</v>
      </c>
      <c r="Z49" s="96">
        <v>50105.282618184458</v>
      </c>
      <c r="AA49" s="96">
        <v>48484.539952962856</v>
      </c>
      <c r="AB49" s="96">
        <v>43875.965110541089</v>
      </c>
      <c r="AC49" s="96">
        <v>32079.683872085428</v>
      </c>
      <c r="AD49" s="96">
        <v>35294.346070615386</v>
      </c>
      <c r="AE49" s="96">
        <v>37924.723317046497</v>
      </c>
      <c r="AF49" s="96">
        <v>39559.613914091562</v>
      </c>
      <c r="AG49" s="96">
        <v>34877.569509715533</v>
      </c>
      <c r="AH49" s="96">
        <v>33420.490965699653</v>
      </c>
      <c r="AI49" s="96">
        <v>33927.721142224502</v>
      </c>
      <c r="AJ49" s="96">
        <v>37456.596501526023</v>
      </c>
      <c r="AK49" s="96">
        <v>44820.040498928778</v>
      </c>
      <c r="AL49" s="96">
        <v>48117.037932202467</v>
      </c>
      <c r="AM49" s="96">
        <v>0</v>
      </c>
    </row>
    <row r="50" spans="1:39" s="90" customFormat="1" ht="15" x14ac:dyDescent="0.25">
      <c r="A50" s="95" t="s">
        <v>170</v>
      </c>
      <c r="B50" s="134"/>
      <c r="C50" s="100">
        <v>18272.846376157588</v>
      </c>
      <c r="D50" s="100">
        <v>20751.562551610179</v>
      </c>
      <c r="E50" s="100">
        <v>16951.583687709233</v>
      </c>
      <c r="F50" s="100">
        <v>21118.767327828464</v>
      </c>
      <c r="G50" s="100">
        <v>21179.761169143054</v>
      </c>
      <c r="H50" s="100">
        <v>21973.327918415576</v>
      </c>
      <c r="I50" s="100">
        <v>25601.965265321007</v>
      </c>
      <c r="J50" s="100">
        <v>24952.26264454627</v>
      </c>
      <c r="K50" s="100">
        <v>25093.685178748361</v>
      </c>
      <c r="L50" s="100">
        <v>26123.3705407936</v>
      </c>
      <c r="M50" s="100">
        <v>27490.345269150861</v>
      </c>
      <c r="N50" s="100">
        <v>29382.443917858367</v>
      </c>
      <c r="O50" s="96">
        <v>90390.181906727012</v>
      </c>
      <c r="P50" s="96">
        <v>86761.154439490405</v>
      </c>
      <c r="Q50" s="96">
        <v>73774.124491179187</v>
      </c>
      <c r="R50" s="96">
        <v>76608.686591567122</v>
      </c>
      <c r="S50" s="96">
        <v>98737.234596528491</v>
      </c>
      <c r="T50" s="96">
        <v>106903.34192952888</v>
      </c>
      <c r="U50" s="96">
        <v>112478.48446618377</v>
      </c>
      <c r="V50" s="96">
        <v>112662.06691644636</v>
      </c>
      <c r="W50" s="96">
        <v>121707.01270520267</v>
      </c>
      <c r="X50" s="96">
        <v>126593.13763937532</v>
      </c>
      <c r="Y50" s="96">
        <v>133920.5142180477</v>
      </c>
      <c r="Z50" s="96">
        <v>143686.00446591582</v>
      </c>
      <c r="AA50" s="96">
        <v>140600.34462570187</v>
      </c>
      <c r="AB50" s="96">
        <v>132329.21960590329</v>
      </c>
      <c r="AC50" s="96">
        <v>113621.35800052687</v>
      </c>
      <c r="AD50" s="96">
        <v>119478.00324170809</v>
      </c>
      <c r="AE50" s="96">
        <v>124711.38386590229</v>
      </c>
      <c r="AF50" s="96">
        <v>132073.82226486152</v>
      </c>
      <c r="AG50" s="96">
        <v>129687.83047193494</v>
      </c>
      <c r="AH50" s="96">
        <v>128251.49632233809</v>
      </c>
      <c r="AI50" s="96">
        <v>131498.55032950852</v>
      </c>
      <c r="AJ50" s="96">
        <v>134110.88198036811</v>
      </c>
      <c r="AK50" s="96">
        <v>136729.29708441952</v>
      </c>
      <c r="AL50" s="96">
        <v>137865.80079101195</v>
      </c>
      <c r="AM50" s="96">
        <v>0</v>
      </c>
    </row>
    <row r="51" spans="1:39" s="90" customFormat="1" ht="15" x14ac:dyDescent="0.25">
      <c r="A51" s="95" t="s">
        <v>171</v>
      </c>
      <c r="B51" s="135"/>
      <c r="C51" s="100"/>
      <c r="D51" s="100"/>
      <c r="E51" s="100"/>
      <c r="F51" s="100">
        <v>4988.7437909791352</v>
      </c>
      <c r="G51" s="100">
        <v>5256.2955624781107</v>
      </c>
      <c r="H51" s="100">
        <v>5253.6877740394257</v>
      </c>
      <c r="I51" s="100">
        <v>6713.1361077016163</v>
      </c>
      <c r="J51" s="100">
        <v>6228.1035133379191</v>
      </c>
      <c r="K51" s="100">
        <v>5890.9555071082304</v>
      </c>
      <c r="L51" s="100">
        <v>5427.1026832456928</v>
      </c>
      <c r="M51" s="100">
        <v>5446.1205607585762</v>
      </c>
      <c r="N51" s="100">
        <v>5441.1711417810548</v>
      </c>
      <c r="O51" s="96">
        <v>16595.952598246015</v>
      </c>
      <c r="P51" s="96">
        <v>17703.322005969163</v>
      </c>
      <c r="Q51" s="96">
        <v>19295.364981058861</v>
      </c>
      <c r="R51" s="96">
        <v>20526.01889667994</v>
      </c>
      <c r="S51" s="96">
        <v>27995.828004408588</v>
      </c>
      <c r="T51" s="96">
        <v>28394.117355317525</v>
      </c>
      <c r="U51" s="96">
        <v>29108.553949847366</v>
      </c>
      <c r="V51" s="96">
        <v>27785.14488982745</v>
      </c>
      <c r="W51" s="96">
        <v>28277.194234175753</v>
      </c>
      <c r="X51" s="96">
        <v>26131.518324415036</v>
      </c>
      <c r="Y51" s="96">
        <v>25559.750396647913</v>
      </c>
      <c r="Z51" s="96">
        <v>25795.933366955469</v>
      </c>
      <c r="AA51" s="96">
        <v>25904.703854887855</v>
      </c>
      <c r="AB51" s="96">
        <v>28946.344006209889</v>
      </c>
      <c r="AC51" s="96">
        <v>29683.812712856496</v>
      </c>
      <c r="AD51" s="96">
        <v>32554.721910117671</v>
      </c>
      <c r="AE51" s="96">
        <v>35059.114015780164</v>
      </c>
      <c r="AF51" s="96">
        <v>35515.005440806119</v>
      </c>
      <c r="AG51" s="96">
        <v>34358.336761528779</v>
      </c>
      <c r="AH51" s="96">
        <v>31853.288309651864</v>
      </c>
      <c r="AI51" s="96">
        <v>30970.085266641927</v>
      </c>
      <c r="AJ51" s="96">
        <v>29727.278550642553</v>
      </c>
      <c r="AK51" s="96">
        <v>27105.717073795466</v>
      </c>
      <c r="AL51" s="96">
        <v>26156.551308447008</v>
      </c>
      <c r="AM51" s="96">
        <v>0</v>
      </c>
    </row>
    <row r="52" spans="1:39" s="90" customFormat="1" ht="15" x14ac:dyDescent="0.25">
      <c r="A52" s="121" t="s">
        <v>172</v>
      </c>
      <c r="B52" s="122">
        <f t="shared" ref="B52:AH52" si="43">+SUM(B47:B51)</f>
        <v>28193.889310581166</v>
      </c>
      <c r="C52" s="122">
        <f t="shared" si="43"/>
        <v>30793.550182023435</v>
      </c>
      <c r="D52" s="122">
        <f t="shared" si="43"/>
        <v>35012.142679226024</v>
      </c>
      <c r="E52" s="122">
        <f t="shared" si="43"/>
        <v>28466.038442849887</v>
      </c>
      <c r="F52" s="122">
        <f t="shared" si="43"/>
        <v>36996.622073688239</v>
      </c>
      <c r="G52" s="122">
        <f t="shared" si="43"/>
        <v>37460.503913027635</v>
      </c>
      <c r="H52" s="122">
        <f t="shared" si="43"/>
        <v>38692.794505412021</v>
      </c>
      <c r="I52" s="122">
        <f t="shared" si="43"/>
        <v>45287.033928964374</v>
      </c>
      <c r="J52" s="122">
        <f t="shared" si="43"/>
        <v>43514.345206148682</v>
      </c>
      <c r="K52" s="122">
        <f t="shared" si="43"/>
        <v>43371.458608679561</v>
      </c>
      <c r="L52" s="122">
        <f t="shared" si="43"/>
        <v>44964.12438504109</v>
      </c>
      <c r="M52" s="122">
        <f t="shared" si="43"/>
        <v>47637.931472714015</v>
      </c>
      <c r="N52" s="122">
        <f t="shared" si="43"/>
        <v>51173.872067760545</v>
      </c>
      <c r="O52" s="122">
        <f t="shared" si="43"/>
        <v>172622.35987946248</v>
      </c>
      <c r="P52" s="122">
        <f t="shared" si="43"/>
        <v>168816.9618482044</v>
      </c>
      <c r="Q52" s="122">
        <f t="shared" si="43"/>
        <v>145327.35453336753</v>
      </c>
      <c r="R52" s="122">
        <f t="shared" si="43"/>
        <v>154264.31551223373</v>
      </c>
      <c r="S52" s="122">
        <f t="shared" si="43"/>
        <v>198815.2663938264</v>
      </c>
      <c r="T52" s="122">
        <f t="shared" si="43"/>
        <v>214581.13287322962</v>
      </c>
      <c r="U52" s="122">
        <f t="shared" si="43"/>
        <v>220384.39487126033</v>
      </c>
      <c r="V52" s="122">
        <f t="shared" si="43"/>
        <v>215851.47840671419</v>
      </c>
      <c r="W52" s="122">
        <f t="shared" si="43"/>
        <v>233669.7612275432</v>
      </c>
      <c r="X52" s="122">
        <f t="shared" si="43"/>
        <v>241320.18129076948</v>
      </c>
      <c r="Y52" s="122">
        <f t="shared" si="43"/>
        <v>254972.65213294537</v>
      </c>
      <c r="Z52" s="122">
        <f t="shared" si="43"/>
        <v>281238.41357430705</v>
      </c>
      <c r="AA52" s="122">
        <f t="shared" si="43"/>
        <v>274795.02241702157</v>
      </c>
      <c r="AB52" s="122">
        <f t="shared" si="43"/>
        <v>262795.50628589932</v>
      </c>
      <c r="AC52" s="122">
        <f t="shared" si="43"/>
        <v>223266.5456476179</v>
      </c>
      <c r="AD52" s="122">
        <f t="shared" si="43"/>
        <v>240950.19561951119</v>
      </c>
      <c r="AE52" s="122">
        <f t="shared" si="43"/>
        <v>256141.6946918625</v>
      </c>
      <c r="AF52" s="122">
        <f t="shared" si="43"/>
        <v>266786.41327594325</v>
      </c>
      <c r="AG52" s="122">
        <f t="shared" si="43"/>
        <v>255096.42200028038</v>
      </c>
      <c r="AH52" s="122">
        <f t="shared" si="43"/>
        <v>249236.144656444</v>
      </c>
      <c r="AI52" s="122">
        <f>+SUM(AI47:AI51)</f>
        <v>252426.6453872282</v>
      </c>
      <c r="AJ52" s="122">
        <f>+SUM(AJ47:AJ51)</f>
        <v>260355.27228560622</v>
      </c>
      <c r="AK52" s="122">
        <f>+SUM(AK47:AK51)</f>
        <v>271833.5043245267</v>
      </c>
      <c r="AL52" s="122">
        <f>+SUM(AL47:AL51)</f>
        <v>276365.28086900519</v>
      </c>
      <c r="AM52" s="122">
        <v>300958.73452695872</v>
      </c>
    </row>
    <row r="53" spans="1:39" s="90" customFormat="1" ht="15" x14ac:dyDescent="0.25">
      <c r="A53" s="95" t="s">
        <v>173</v>
      </c>
      <c r="B53" s="97">
        <v>394.83292226789183</v>
      </c>
      <c r="C53" s="97">
        <v>501.17463912730267</v>
      </c>
      <c r="D53" s="97">
        <v>566.19065437192216</v>
      </c>
      <c r="E53" s="97">
        <v>354.82720607392775</v>
      </c>
      <c r="F53" s="97">
        <v>444.66030805931803</v>
      </c>
      <c r="G53" s="97">
        <v>475.6113338706661</v>
      </c>
      <c r="H53" s="97">
        <v>503.86481620818915</v>
      </c>
      <c r="I53" s="97">
        <v>572.61143684038666</v>
      </c>
      <c r="J53" s="97">
        <v>542.27914872536405</v>
      </c>
      <c r="K53" s="97">
        <v>547.84884416586112</v>
      </c>
      <c r="L53" s="97">
        <v>620.15842892265471</v>
      </c>
      <c r="M53" s="97">
        <v>715.05645862171525</v>
      </c>
      <c r="N53" s="97">
        <v>768.48678062504632</v>
      </c>
      <c r="O53" s="96">
        <v>2581.3750764085871</v>
      </c>
      <c r="P53" s="96">
        <v>2433.1353819009591</v>
      </c>
      <c r="Q53" s="96">
        <v>1714.5712679474966</v>
      </c>
      <c r="R53" s="96">
        <v>1819.1352367651371</v>
      </c>
      <c r="S53" s="96">
        <v>2352.1735530844458</v>
      </c>
      <c r="T53" s="96">
        <v>2636.3258620447373</v>
      </c>
      <c r="U53" s="96">
        <v>2656.3402447248395</v>
      </c>
      <c r="V53" s="96">
        <v>2468.1063961319082</v>
      </c>
      <c r="W53" s="96">
        <v>2744.7788702154521</v>
      </c>
      <c r="X53" s="96">
        <v>3136.752420787464</v>
      </c>
      <c r="Y53" s="96">
        <v>3294.031255348244</v>
      </c>
      <c r="Z53" s="96">
        <v>3800.884468609971</v>
      </c>
      <c r="AA53" s="96">
        <v>4066.656636834296</v>
      </c>
      <c r="AB53" s="96">
        <v>3699.5045091949255</v>
      </c>
      <c r="AC53" s="96">
        <v>2493.5581579651671</v>
      </c>
      <c r="AD53" s="96">
        <v>2815.2475981748926</v>
      </c>
      <c r="AE53" s="96">
        <v>3043.5441172816195</v>
      </c>
      <c r="AF53" s="96">
        <v>3344.3903001805802</v>
      </c>
      <c r="AG53" s="96">
        <v>3108.5219411309345</v>
      </c>
      <c r="AH53" s="96">
        <v>2699.4367417437711</v>
      </c>
      <c r="AI53" s="96">
        <v>2719.9729306140925</v>
      </c>
      <c r="AJ53" s="96">
        <v>2772.1295183288044</v>
      </c>
      <c r="AK53" s="96">
        <v>3139.9307734309996</v>
      </c>
      <c r="AL53" s="96">
        <v>3773.4095712089625</v>
      </c>
      <c r="AM53" s="96">
        <v>0</v>
      </c>
    </row>
    <row r="54" spans="1:39" s="90" customFormat="1" ht="15" x14ac:dyDescent="0.25">
      <c r="A54" s="95" t="s">
        <v>174</v>
      </c>
      <c r="B54" s="97">
        <v>13460.70951773876</v>
      </c>
      <c r="C54" s="97">
        <v>16190.373784453979</v>
      </c>
      <c r="D54" s="97">
        <v>18032.246174904361</v>
      </c>
      <c r="E54" s="97">
        <v>15497.735106124239</v>
      </c>
      <c r="F54" s="97">
        <v>24173.339917806938</v>
      </c>
      <c r="G54" s="97">
        <v>23977.086795505282</v>
      </c>
      <c r="H54" s="97">
        <v>24290.191002169366</v>
      </c>
      <c r="I54" s="97">
        <v>24426.175563989011</v>
      </c>
      <c r="J54" s="97">
        <v>22991.352281982934</v>
      </c>
      <c r="K54" s="97">
        <v>22987.941532088946</v>
      </c>
      <c r="L54" s="97">
        <v>21294.795747619053</v>
      </c>
      <c r="M54" s="97">
        <v>21451.666607279738</v>
      </c>
      <c r="N54" s="97">
        <v>22207.004339964071</v>
      </c>
      <c r="O54" s="96">
        <v>55522.903431223145</v>
      </c>
      <c r="P54" s="96">
        <v>54872.8758359247</v>
      </c>
      <c r="Q54" s="96">
        <v>48813.602486535128</v>
      </c>
      <c r="R54" s="96">
        <v>51473.937192386809</v>
      </c>
      <c r="S54" s="96">
        <v>65054.586410247342</v>
      </c>
      <c r="T54" s="96">
        <v>69588.016715097867</v>
      </c>
      <c r="U54" s="96">
        <v>70670.054257850526</v>
      </c>
      <c r="V54" s="96">
        <v>70944.678409215878</v>
      </c>
      <c r="W54" s="96">
        <v>77699.127466428341</v>
      </c>
      <c r="X54" s="96">
        <v>77020.58974467036</v>
      </c>
      <c r="Y54" s="96">
        <v>77984.273262313771</v>
      </c>
      <c r="Z54" s="96">
        <v>79507.276729039877</v>
      </c>
      <c r="AA54" s="96">
        <v>83326.565568870501</v>
      </c>
      <c r="AB54" s="96">
        <v>84289.20068004592</v>
      </c>
      <c r="AC54" s="96">
        <v>73352.155418150738</v>
      </c>
      <c r="AD54" s="96">
        <v>78149.399366437035</v>
      </c>
      <c r="AE54" s="96">
        <v>78081.634361722361</v>
      </c>
      <c r="AF54" s="96">
        <v>81453.696956098691</v>
      </c>
      <c r="AG54" s="96">
        <v>79614.168916538038</v>
      </c>
      <c r="AH54" s="96">
        <v>78303.742095781505</v>
      </c>
      <c r="AI54" s="96">
        <v>78467.776618469899</v>
      </c>
      <c r="AJ54" s="96">
        <v>76708.061513687702</v>
      </c>
      <c r="AK54" s="96">
        <v>74049.530305550914</v>
      </c>
      <c r="AL54" s="96">
        <v>74982.251330259867</v>
      </c>
      <c r="AM54" s="96">
        <v>86323.162657453446</v>
      </c>
    </row>
    <row r="55" spans="1:39" s="90" customFormat="1" ht="15" x14ac:dyDescent="0.25">
      <c r="A55" s="121" t="s">
        <v>175</v>
      </c>
      <c r="B55" s="122">
        <f t="shared" ref="B55:AK55" si="44">+B54+B53</f>
        <v>13855.542440006651</v>
      </c>
      <c r="C55" s="122">
        <f t="shared" si="44"/>
        <v>16691.54842358128</v>
      </c>
      <c r="D55" s="122">
        <f t="shared" si="44"/>
        <v>18598.436829276285</v>
      </c>
      <c r="E55" s="122">
        <f t="shared" si="44"/>
        <v>15852.562312198166</v>
      </c>
      <c r="F55" s="122">
        <f t="shared" si="44"/>
        <v>24618.000225866257</v>
      </c>
      <c r="G55" s="122">
        <f t="shared" si="44"/>
        <v>24452.698129375949</v>
      </c>
      <c r="H55" s="122">
        <f t="shared" si="44"/>
        <v>24794.055818377554</v>
      </c>
      <c r="I55" s="122">
        <f t="shared" si="44"/>
        <v>24998.787000829398</v>
      </c>
      <c r="J55" s="122">
        <f t="shared" si="44"/>
        <v>23533.631430708298</v>
      </c>
      <c r="K55" s="122">
        <f t="shared" si="44"/>
        <v>23535.790376254809</v>
      </c>
      <c r="L55" s="122">
        <f t="shared" si="44"/>
        <v>21914.954176541709</v>
      </c>
      <c r="M55" s="122">
        <f t="shared" si="44"/>
        <v>22166.723065901453</v>
      </c>
      <c r="N55" s="122">
        <f t="shared" si="44"/>
        <v>22975.491120589119</v>
      </c>
      <c r="O55" s="122">
        <f t="shared" si="44"/>
        <v>58104.27850763173</v>
      </c>
      <c r="P55" s="122">
        <f t="shared" si="44"/>
        <v>57306.01121782566</v>
      </c>
      <c r="Q55" s="122">
        <f t="shared" si="44"/>
        <v>50528.173754482625</v>
      </c>
      <c r="R55" s="122">
        <f t="shared" si="44"/>
        <v>53293.072429151944</v>
      </c>
      <c r="S55" s="122">
        <f t="shared" si="44"/>
        <v>67406.759963331788</v>
      </c>
      <c r="T55" s="122">
        <f t="shared" si="44"/>
        <v>72224.342577142597</v>
      </c>
      <c r="U55" s="122">
        <f t="shared" si="44"/>
        <v>73326.394502575364</v>
      </c>
      <c r="V55" s="122">
        <f t="shared" si="44"/>
        <v>73412.784805347779</v>
      </c>
      <c r="W55" s="122">
        <f t="shared" si="44"/>
        <v>80443.906336643791</v>
      </c>
      <c r="X55" s="122">
        <f t="shared" si="44"/>
        <v>80157.342165457827</v>
      </c>
      <c r="Y55" s="122">
        <f t="shared" si="44"/>
        <v>81278.304517662022</v>
      </c>
      <c r="Z55" s="122">
        <f t="shared" si="44"/>
        <v>83308.161197649853</v>
      </c>
      <c r="AA55" s="122">
        <f t="shared" si="44"/>
        <v>87393.222205704791</v>
      </c>
      <c r="AB55" s="122">
        <f t="shared" si="44"/>
        <v>87988.705189240849</v>
      </c>
      <c r="AC55" s="122">
        <f t="shared" si="44"/>
        <v>75845.713576115901</v>
      </c>
      <c r="AD55" s="122">
        <f t="shared" si="44"/>
        <v>80964.646964611922</v>
      </c>
      <c r="AE55" s="122">
        <f t="shared" si="44"/>
        <v>81125.178479003982</v>
      </c>
      <c r="AF55" s="122">
        <f t="shared" si="44"/>
        <v>84798.087256279265</v>
      </c>
      <c r="AG55" s="122">
        <f t="shared" si="44"/>
        <v>82722.690857668975</v>
      </c>
      <c r="AH55" s="122">
        <f t="shared" si="44"/>
        <v>81003.17883752528</v>
      </c>
      <c r="AI55" s="122">
        <f t="shared" si="44"/>
        <v>81187.749549083994</v>
      </c>
      <c r="AJ55" s="122">
        <f t="shared" si="44"/>
        <v>79480.191032016504</v>
      </c>
      <c r="AK55" s="122">
        <f t="shared" si="44"/>
        <v>77189.461078981913</v>
      </c>
      <c r="AL55" s="122">
        <f>+AL54+AL53</f>
        <v>78755.660901468829</v>
      </c>
      <c r="AM55" s="122">
        <f>+AM54+AM53</f>
        <v>86323.162657453446</v>
      </c>
    </row>
    <row r="56" spans="1:39" s="90" customFormat="1" ht="15" x14ac:dyDescent="0.25">
      <c r="A56" s="101" t="s">
        <v>176</v>
      </c>
      <c r="B56" s="102">
        <f t="shared" ref="B56:AK56" si="45">+B55+B52+B46</f>
        <v>71248.314314579999</v>
      </c>
      <c r="C56" s="102">
        <f t="shared" si="45"/>
        <v>76876.235741579992</v>
      </c>
      <c r="D56" s="102">
        <f t="shared" si="45"/>
        <v>89047.380204290006</v>
      </c>
      <c r="E56" s="102">
        <f t="shared" si="45"/>
        <v>65324.579033009999</v>
      </c>
      <c r="F56" s="102">
        <f t="shared" si="45"/>
        <v>100417.09589659001</v>
      </c>
      <c r="G56" s="102">
        <f t="shared" si="45"/>
        <v>107042.78062293999</v>
      </c>
      <c r="H56" s="102">
        <f t="shared" si="45"/>
        <v>111960.02093904</v>
      </c>
      <c r="I56" s="102">
        <f t="shared" si="45"/>
        <v>115553.17536848001</v>
      </c>
      <c r="J56" s="102">
        <f t="shared" si="45"/>
        <v>107170.24575461999</v>
      </c>
      <c r="K56" s="102">
        <f t="shared" si="45"/>
        <v>102964.77351676</v>
      </c>
      <c r="L56" s="102">
        <f t="shared" si="45"/>
        <v>103607.00551724</v>
      </c>
      <c r="M56" s="102">
        <f t="shared" si="45"/>
        <v>110598.70165877999</v>
      </c>
      <c r="N56" s="102">
        <f t="shared" si="45"/>
        <v>124489.46586510004</v>
      </c>
      <c r="O56" s="102">
        <f t="shared" si="45"/>
        <v>344825.95881800004</v>
      </c>
      <c r="P56" s="102">
        <f t="shared" si="45"/>
        <v>327860.49812200002</v>
      </c>
      <c r="Q56" s="102">
        <f t="shared" si="45"/>
        <v>275465.85065400001</v>
      </c>
      <c r="R56" s="102">
        <f t="shared" si="45"/>
        <v>307390.90658899996</v>
      </c>
      <c r="S56" s="102">
        <f t="shared" si="45"/>
        <v>472029.45926604001</v>
      </c>
      <c r="T56" s="102">
        <f t="shared" si="45"/>
        <v>550349.00508365</v>
      </c>
      <c r="U56" s="102">
        <f t="shared" si="45"/>
        <v>533122.00987446995</v>
      </c>
      <c r="V56" s="102">
        <f t="shared" si="45"/>
        <v>477578.31848295999</v>
      </c>
      <c r="W56" s="102">
        <f t="shared" si="45"/>
        <v>520216.92812466994</v>
      </c>
      <c r="X56" s="102">
        <f t="shared" si="45"/>
        <v>541719.46384768002</v>
      </c>
      <c r="Y56" s="102">
        <f t="shared" si="45"/>
        <v>580867.63155217003</v>
      </c>
      <c r="Z56" s="102">
        <f t="shared" si="45"/>
        <v>691377.16897661996</v>
      </c>
      <c r="AA56" s="102">
        <f t="shared" si="45"/>
        <v>679550.78123478999</v>
      </c>
      <c r="AB56" s="102">
        <f t="shared" si="45"/>
        <v>635161.49519227014</v>
      </c>
      <c r="AC56" s="102">
        <f t="shared" si="45"/>
        <v>501626.81158818997</v>
      </c>
      <c r="AD56" s="102">
        <f t="shared" si="45"/>
        <v>573263.59839254001</v>
      </c>
      <c r="AE56" s="102">
        <f t="shared" si="45"/>
        <v>668157.81188359996</v>
      </c>
      <c r="AF56" s="102">
        <f t="shared" si="45"/>
        <v>695494.97999346</v>
      </c>
      <c r="AG56" s="102">
        <f t="shared" si="45"/>
        <v>636771.41685310996</v>
      </c>
      <c r="AH56" s="102">
        <f t="shared" si="45"/>
        <v>587517.42151060002</v>
      </c>
      <c r="AI56" s="102">
        <f t="shared" si="45"/>
        <v>580223.45450389991</v>
      </c>
      <c r="AJ56" s="102">
        <f t="shared" si="45"/>
        <v>632534.80764067103</v>
      </c>
      <c r="AK56" s="102">
        <f t="shared" si="45"/>
        <v>739993.78433481418</v>
      </c>
      <c r="AL56" s="102">
        <f>+AL55+AL52+AL46</f>
        <v>749193.18315978488</v>
      </c>
      <c r="AM56" s="102">
        <f>+AM55+AM52+AM46</f>
        <v>768566.54169995594</v>
      </c>
    </row>
    <row r="57" spans="1:39" s="90" customFormat="1" ht="15" x14ac:dyDescent="0.25">
      <c r="A57" s="105" t="s">
        <v>178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96">
        <v>-1001.2124209999999</v>
      </c>
      <c r="P57" s="96">
        <v>-39.319676000000001</v>
      </c>
      <c r="Q57" s="96">
        <v>5783.7434949999997</v>
      </c>
      <c r="R57" s="96">
        <v>21585.249662999999</v>
      </c>
      <c r="S57" s="96">
        <v>15335.910313</v>
      </c>
      <c r="T57" s="96">
        <v>18910.584763999999</v>
      </c>
      <c r="U57" s="96">
        <v>14276.834973999999</v>
      </c>
      <c r="V57" s="96">
        <v>5797.7295999999997</v>
      </c>
      <c r="W57" s="96">
        <v>-5744.3286609999996</v>
      </c>
      <c r="X57" s="96">
        <v>-7248.5834569999997</v>
      </c>
      <c r="Y57" s="96">
        <v>-8105.3804609999997</v>
      </c>
      <c r="Z57" s="96">
        <v>-4661.0278150000004</v>
      </c>
      <c r="AA57" s="96">
        <v>-4955.3947070000004</v>
      </c>
      <c r="AB57" s="96">
        <v>-5808.5713180000002</v>
      </c>
      <c r="AC57" s="96">
        <v>1906.8157450000001</v>
      </c>
      <c r="AD57" s="96">
        <v>9999.9485629999999</v>
      </c>
      <c r="AE57" s="96">
        <v>25007.619213999998</v>
      </c>
      <c r="AF57" s="96">
        <v>39565.764629999998</v>
      </c>
      <c r="AG57" s="96">
        <v>31888.094970999999</v>
      </c>
      <c r="AH57" s="96">
        <v>16990.497557999999</v>
      </c>
      <c r="AI57" s="96">
        <v>12058.521773</v>
      </c>
      <c r="AJ57" s="96">
        <v>2889.1206689999999</v>
      </c>
      <c r="AK57" s="96">
        <v>9986.646401</v>
      </c>
      <c r="AL57" s="96">
        <v>15937.486747000001</v>
      </c>
      <c r="AM57" s="96">
        <v>3581.1663720000001</v>
      </c>
    </row>
    <row r="58" spans="1:39" s="90" customFormat="1" ht="15" x14ac:dyDescent="0.25">
      <c r="A58" s="107" t="s">
        <v>179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9">
        <f t="shared" ref="O58:AK58" si="46">+O54+O57</f>
        <v>54521.691010223149</v>
      </c>
      <c r="P58" s="109">
        <f t="shared" si="46"/>
        <v>54833.556159924701</v>
      </c>
      <c r="Q58" s="109">
        <f t="shared" si="46"/>
        <v>54597.345981535131</v>
      </c>
      <c r="R58" s="109">
        <f t="shared" si="46"/>
        <v>73059.186855386812</v>
      </c>
      <c r="S58" s="109">
        <f t="shared" si="46"/>
        <v>80390.496723247343</v>
      </c>
      <c r="T58" s="109">
        <f t="shared" si="46"/>
        <v>88498.601479097866</v>
      </c>
      <c r="U58" s="109">
        <f t="shared" si="46"/>
        <v>84946.889231850524</v>
      </c>
      <c r="V58" s="109">
        <f t="shared" si="46"/>
        <v>76742.408009215884</v>
      </c>
      <c r="W58" s="109">
        <f t="shared" si="46"/>
        <v>71954.798805428349</v>
      </c>
      <c r="X58" s="109">
        <f t="shared" si="46"/>
        <v>69772.00628767036</v>
      </c>
      <c r="Y58" s="109">
        <f t="shared" si="46"/>
        <v>69878.892801313777</v>
      </c>
      <c r="Z58" s="109">
        <f t="shared" si="46"/>
        <v>74846.248914039883</v>
      </c>
      <c r="AA58" s="109">
        <f t="shared" si="46"/>
        <v>78371.170861870502</v>
      </c>
      <c r="AB58" s="109">
        <f t="shared" si="46"/>
        <v>78480.629362045918</v>
      </c>
      <c r="AC58" s="109">
        <f t="shared" si="46"/>
        <v>75258.971163150738</v>
      </c>
      <c r="AD58" s="109">
        <f t="shared" si="46"/>
        <v>88149.347929437034</v>
      </c>
      <c r="AE58" s="109">
        <f t="shared" si="46"/>
        <v>103089.25357572237</v>
      </c>
      <c r="AF58" s="109">
        <f t="shared" si="46"/>
        <v>121019.46158609868</v>
      </c>
      <c r="AG58" s="109">
        <f t="shared" si="46"/>
        <v>111502.26388753804</v>
      </c>
      <c r="AH58" s="109">
        <f t="shared" si="46"/>
        <v>95294.239653781508</v>
      </c>
      <c r="AI58" s="109">
        <f t="shared" si="46"/>
        <v>90526.2983914699</v>
      </c>
      <c r="AJ58" s="109">
        <f t="shared" si="46"/>
        <v>79597.182182687699</v>
      </c>
      <c r="AK58" s="109">
        <f t="shared" si="46"/>
        <v>84036.176706550919</v>
      </c>
      <c r="AL58" s="109">
        <f>+AL54+AL57</f>
        <v>90919.73807725987</v>
      </c>
      <c r="AM58" s="109">
        <f>+AM54+AM57</f>
        <v>89904.329029453453</v>
      </c>
    </row>
    <row r="59" spans="1:39" s="90" customFormat="1" ht="15" x14ac:dyDescent="0.25">
      <c r="A59" s="98" t="s">
        <v>180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>
        <f t="shared" ref="O59:AK59" si="47">+O55+O57</f>
        <v>57103.066086631734</v>
      </c>
      <c r="P59" s="99">
        <f t="shared" si="47"/>
        <v>57266.691541825661</v>
      </c>
      <c r="Q59" s="99">
        <f t="shared" si="47"/>
        <v>56311.917249482627</v>
      </c>
      <c r="R59" s="99">
        <f t="shared" si="47"/>
        <v>74878.322092151939</v>
      </c>
      <c r="S59" s="99">
        <f t="shared" si="47"/>
        <v>82742.670276331788</v>
      </c>
      <c r="T59" s="99">
        <f t="shared" si="47"/>
        <v>91134.927341142597</v>
      </c>
      <c r="U59" s="99">
        <f t="shared" si="47"/>
        <v>87603.229476575361</v>
      </c>
      <c r="V59" s="99">
        <f t="shared" si="47"/>
        <v>79210.514405347785</v>
      </c>
      <c r="W59" s="99">
        <f t="shared" si="47"/>
        <v>74699.577675643784</v>
      </c>
      <c r="X59" s="99">
        <f t="shared" si="47"/>
        <v>72908.758708457826</v>
      </c>
      <c r="Y59" s="99">
        <f t="shared" si="47"/>
        <v>73172.924056662028</v>
      </c>
      <c r="Z59" s="99">
        <f t="shared" si="47"/>
        <v>78647.133382649859</v>
      </c>
      <c r="AA59" s="99">
        <f t="shared" si="47"/>
        <v>82437.827498704792</v>
      </c>
      <c r="AB59" s="99">
        <f t="shared" si="47"/>
        <v>82180.133871240847</v>
      </c>
      <c r="AC59" s="99">
        <f t="shared" si="47"/>
        <v>77752.529321115901</v>
      </c>
      <c r="AD59" s="99">
        <f t="shared" si="47"/>
        <v>90964.59552761192</v>
      </c>
      <c r="AE59" s="99">
        <f t="shared" si="47"/>
        <v>106132.79769300399</v>
      </c>
      <c r="AF59" s="99">
        <f t="shared" si="47"/>
        <v>124363.85188627927</v>
      </c>
      <c r="AG59" s="99">
        <f t="shared" si="47"/>
        <v>114610.78582866897</v>
      </c>
      <c r="AH59" s="99">
        <f t="shared" si="47"/>
        <v>97993.676395525283</v>
      </c>
      <c r="AI59" s="99">
        <f t="shared" si="47"/>
        <v>93246.271322083994</v>
      </c>
      <c r="AJ59" s="99">
        <f t="shared" si="47"/>
        <v>82369.311701016501</v>
      </c>
      <c r="AK59" s="99">
        <f t="shared" si="47"/>
        <v>87176.107479981918</v>
      </c>
      <c r="AL59" s="99">
        <f>+AL55+AL57</f>
        <v>94693.147648468832</v>
      </c>
      <c r="AM59" s="99">
        <f>+AM55+AM57</f>
        <v>89904.329029453453</v>
      </c>
    </row>
    <row r="60" spans="1:39" s="90" customFormat="1" ht="15" x14ac:dyDescent="0.25">
      <c r="A60" s="110" t="s">
        <v>181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2">
        <f t="shared" ref="O60:AK60" si="48">+O56+O57</f>
        <v>343824.74639700004</v>
      </c>
      <c r="P60" s="112">
        <f t="shared" si="48"/>
        <v>327821.17844600003</v>
      </c>
      <c r="Q60" s="112">
        <f t="shared" si="48"/>
        <v>281249.59414900001</v>
      </c>
      <c r="R60" s="112">
        <f t="shared" si="48"/>
        <v>328976.15625199996</v>
      </c>
      <c r="S60" s="112">
        <f t="shared" si="48"/>
        <v>487365.36957903998</v>
      </c>
      <c r="T60" s="112">
        <f t="shared" si="48"/>
        <v>569259.58984765003</v>
      </c>
      <c r="U60" s="112">
        <f t="shared" si="48"/>
        <v>547398.84484846995</v>
      </c>
      <c r="V60" s="112">
        <f t="shared" si="48"/>
        <v>483376.04808296001</v>
      </c>
      <c r="W60" s="112">
        <f t="shared" si="48"/>
        <v>514472.59946366993</v>
      </c>
      <c r="X60" s="112">
        <f t="shared" si="48"/>
        <v>534470.88039068005</v>
      </c>
      <c r="Y60" s="112">
        <f t="shared" si="48"/>
        <v>572762.25109117001</v>
      </c>
      <c r="Z60" s="112">
        <f t="shared" si="48"/>
        <v>686716.14116161992</v>
      </c>
      <c r="AA60" s="112">
        <f t="shared" si="48"/>
        <v>674595.38652778999</v>
      </c>
      <c r="AB60" s="112">
        <f t="shared" si="48"/>
        <v>629352.92387427017</v>
      </c>
      <c r="AC60" s="112">
        <f t="shared" si="48"/>
        <v>503533.62733319</v>
      </c>
      <c r="AD60" s="112">
        <f t="shared" si="48"/>
        <v>583263.54695553996</v>
      </c>
      <c r="AE60" s="112">
        <f t="shared" si="48"/>
        <v>693165.43109759991</v>
      </c>
      <c r="AF60" s="112">
        <f t="shared" si="48"/>
        <v>735060.74462345999</v>
      </c>
      <c r="AG60" s="112">
        <f t="shared" si="48"/>
        <v>668659.51182410994</v>
      </c>
      <c r="AH60" s="112">
        <f t="shared" si="48"/>
        <v>604507.91906860005</v>
      </c>
      <c r="AI60" s="112">
        <f t="shared" si="48"/>
        <v>592281.97627689992</v>
      </c>
      <c r="AJ60" s="112">
        <f t="shared" si="48"/>
        <v>635423.928309671</v>
      </c>
      <c r="AK60" s="112">
        <f t="shared" si="48"/>
        <v>749980.43073581415</v>
      </c>
      <c r="AL60" s="112">
        <f>+AL56+AL57</f>
        <v>765130.6699067849</v>
      </c>
      <c r="AM60" s="112">
        <f>+AM56+AM57</f>
        <v>772147.70807195595</v>
      </c>
    </row>
    <row r="61" spans="1:39" s="90" customFormat="1" ht="15" x14ac:dyDescent="0.25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</row>
    <row r="62" spans="1:39" s="90" customFormat="1" ht="15" x14ac:dyDescent="0.25">
      <c r="A62" s="103"/>
      <c r="B62" s="103"/>
      <c r="C62" s="103"/>
      <c r="D62" s="103"/>
      <c r="E62" s="103"/>
      <c r="F62" s="103"/>
    </row>
    <row r="63" spans="1:39" s="90" customFormat="1" ht="15" x14ac:dyDescent="0.25">
      <c r="A63" s="103"/>
      <c r="B63" s="92">
        <v>2023</v>
      </c>
      <c r="C63" s="92">
        <v>2023</v>
      </c>
      <c r="D63" s="92">
        <v>2023</v>
      </c>
      <c r="E63" s="92">
        <v>2023</v>
      </c>
      <c r="F63" s="92">
        <v>2023</v>
      </c>
      <c r="G63" s="92">
        <v>2023</v>
      </c>
      <c r="H63" s="92">
        <v>2023</v>
      </c>
      <c r="I63" s="92">
        <v>2023</v>
      </c>
      <c r="J63" s="92">
        <v>2023</v>
      </c>
      <c r="K63" s="92">
        <v>2023</v>
      </c>
      <c r="L63" s="92">
        <v>2023</v>
      </c>
      <c r="M63" s="92">
        <v>2023</v>
      </c>
      <c r="N63" s="92">
        <v>2024</v>
      </c>
      <c r="O63" s="92">
        <v>2024</v>
      </c>
      <c r="P63" s="92">
        <v>2024</v>
      </c>
      <c r="Q63" s="92">
        <v>2024</v>
      </c>
      <c r="R63" s="92">
        <v>2024</v>
      </c>
      <c r="S63" s="92">
        <v>2024</v>
      </c>
      <c r="T63" s="92">
        <v>2024</v>
      </c>
      <c r="U63" s="92">
        <v>2024</v>
      </c>
      <c r="V63" s="92">
        <v>2024</v>
      </c>
      <c r="W63" s="92">
        <v>2024</v>
      </c>
      <c r="X63" s="92">
        <v>2024</v>
      </c>
      <c r="Y63" s="92">
        <v>2024</v>
      </c>
      <c r="Z63" s="92">
        <f t="shared" ref="Z63:AM63" si="49">YEAR(Z64)</f>
        <v>2025</v>
      </c>
      <c r="AA63" s="92">
        <f t="shared" si="49"/>
        <v>2025</v>
      </c>
      <c r="AB63" s="92">
        <f t="shared" si="49"/>
        <v>2025</v>
      </c>
      <c r="AC63" s="92">
        <f t="shared" si="49"/>
        <v>2025</v>
      </c>
      <c r="AD63" s="92">
        <f t="shared" si="49"/>
        <v>2025</v>
      </c>
      <c r="AE63" s="92">
        <f t="shared" si="49"/>
        <v>2025</v>
      </c>
      <c r="AF63" s="92">
        <f t="shared" si="49"/>
        <v>2025</v>
      </c>
      <c r="AG63" s="92">
        <f t="shared" si="49"/>
        <v>2025</v>
      </c>
      <c r="AH63" s="92">
        <f t="shared" si="49"/>
        <v>2025</v>
      </c>
      <c r="AI63" s="92">
        <f t="shared" si="49"/>
        <v>2025</v>
      </c>
      <c r="AJ63" s="92">
        <f t="shared" si="49"/>
        <v>2025</v>
      </c>
      <c r="AK63" s="92">
        <f t="shared" si="49"/>
        <v>2025</v>
      </c>
      <c r="AL63" s="92">
        <f t="shared" si="49"/>
        <v>2026</v>
      </c>
      <c r="AM63" s="92">
        <f t="shared" si="49"/>
        <v>2026</v>
      </c>
    </row>
    <row r="64" spans="1:39" s="90" customFormat="1" ht="15" x14ac:dyDescent="0.25">
      <c r="A64" s="93" t="s">
        <v>136</v>
      </c>
      <c r="B64" s="94">
        <v>44927</v>
      </c>
      <c r="C64" s="94">
        <v>44958</v>
      </c>
      <c r="D64" s="94">
        <v>44986</v>
      </c>
      <c r="E64" s="94">
        <v>45017</v>
      </c>
      <c r="F64" s="94">
        <v>45047</v>
      </c>
      <c r="G64" s="94">
        <v>45078</v>
      </c>
      <c r="H64" s="94">
        <v>45108</v>
      </c>
      <c r="I64" s="94">
        <v>45139</v>
      </c>
      <c r="J64" s="94">
        <v>45170</v>
      </c>
      <c r="K64" s="94">
        <v>45200</v>
      </c>
      <c r="L64" s="94">
        <v>45231</v>
      </c>
      <c r="M64" s="94">
        <v>45261</v>
      </c>
      <c r="N64" s="94">
        <v>45292</v>
      </c>
      <c r="O64" s="94">
        <v>45323</v>
      </c>
      <c r="P64" s="94">
        <v>45352</v>
      </c>
      <c r="Q64" s="94">
        <v>45383</v>
      </c>
      <c r="R64" s="94">
        <v>45413</v>
      </c>
      <c r="S64" s="94">
        <v>45444</v>
      </c>
      <c r="T64" s="94">
        <v>45474</v>
      </c>
      <c r="U64" s="94">
        <v>45505</v>
      </c>
      <c r="V64" s="94">
        <v>45536</v>
      </c>
      <c r="W64" s="94">
        <v>45566</v>
      </c>
      <c r="X64" s="94">
        <v>45597</v>
      </c>
      <c r="Y64" s="94">
        <v>45627</v>
      </c>
      <c r="Z64" s="94">
        <f t="shared" ref="Z64:AJ64" si="50">+Z32</f>
        <v>45658</v>
      </c>
      <c r="AA64" s="94">
        <f t="shared" si="50"/>
        <v>45689</v>
      </c>
      <c r="AB64" s="94">
        <f t="shared" si="50"/>
        <v>45717</v>
      </c>
      <c r="AC64" s="94">
        <f t="shared" si="50"/>
        <v>45748</v>
      </c>
      <c r="AD64" s="94">
        <f t="shared" si="50"/>
        <v>45778</v>
      </c>
      <c r="AE64" s="94">
        <f t="shared" si="50"/>
        <v>45809</v>
      </c>
      <c r="AF64" s="94">
        <f t="shared" si="50"/>
        <v>45839</v>
      </c>
      <c r="AG64" s="94">
        <f t="shared" si="50"/>
        <v>45870</v>
      </c>
      <c r="AH64" s="94">
        <f t="shared" si="50"/>
        <v>45901</v>
      </c>
      <c r="AI64" s="94">
        <f t="shared" si="50"/>
        <v>45931</v>
      </c>
      <c r="AJ64" s="94">
        <f t="shared" si="50"/>
        <v>45962</v>
      </c>
      <c r="AK64" s="94">
        <f t="shared" ref="AK64:AL64" si="51">+AK32</f>
        <v>45992</v>
      </c>
      <c r="AL64" s="94">
        <f t="shared" si="51"/>
        <v>46023</v>
      </c>
      <c r="AM64" s="94">
        <f t="shared" ref="AM64" si="52">+AM32</f>
        <v>46054</v>
      </c>
    </row>
    <row r="65" spans="1:39" s="90" customFormat="1" ht="15" x14ac:dyDescent="0.25">
      <c r="A65" s="95" t="s">
        <v>161</v>
      </c>
      <c r="B65" s="96">
        <v>7074.3740032313726</v>
      </c>
      <c r="C65" s="96">
        <v>9627.1596260796068</v>
      </c>
      <c r="D65" s="96">
        <v>9600.2463055494809</v>
      </c>
      <c r="E65" s="96">
        <v>9598.8122850885829</v>
      </c>
      <c r="F65" s="96">
        <v>21496.621521906211</v>
      </c>
      <c r="G65" s="96">
        <v>21490.486403642597</v>
      </c>
      <c r="H65" s="96">
        <v>21485.783247570096</v>
      </c>
      <c r="I65" s="96">
        <v>22843.645801568291</v>
      </c>
      <c r="J65" s="96">
        <v>22861.144536429674</v>
      </c>
      <c r="K65" s="96">
        <v>22845.695478089918</v>
      </c>
      <c r="L65" s="96">
        <v>20766.688497979183</v>
      </c>
      <c r="M65" s="96">
        <v>20760.721791892051</v>
      </c>
      <c r="N65" s="96">
        <v>20752.591580483946</v>
      </c>
      <c r="O65" s="96">
        <v>50198.396289745055</v>
      </c>
      <c r="P65" s="96">
        <v>50130.577543284737</v>
      </c>
      <c r="Q65" s="96">
        <v>49991.792246462785</v>
      </c>
      <c r="R65" s="96">
        <v>49513.316865980392</v>
      </c>
      <c r="S65" s="96">
        <v>66865.729151588705</v>
      </c>
      <c r="T65" s="96">
        <v>66320.218697811317</v>
      </c>
      <c r="U65" s="96">
        <v>69336.093024682516</v>
      </c>
      <c r="V65" s="96">
        <v>73627.67378868394</v>
      </c>
      <c r="W65" s="96">
        <v>76157.113711965299</v>
      </c>
      <c r="X65" s="96">
        <v>75975.762670203359</v>
      </c>
      <c r="Y65" s="96">
        <v>76020.190601205759</v>
      </c>
      <c r="Z65" s="96">
        <f t="shared" ref="Z65:AL65" si="53">IFERROR(+Z33*1000/Z5,0)</f>
        <v>75338.081612142138</v>
      </c>
      <c r="AA65" s="96">
        <f t="shared" si="53"/>
        <v>77204.877948748603</v>
      </c>
      <c r="AB65" s="96">
        <f t="shared" si="53"/>
        <v>80288.324934513148</v>
      </c>
      <c r="AC65" s="96">
        <f t="shared" si="53"/>
        <v>77027.811666403722</v>
      </c>
      <c r="AD65" s="96">
        <f t="shared" si="53"/>
        <v>79993.797278925093</v>
      </c>
      <c r="AE65" s="96">
        <f t="shared" si="53"/>
        <v>81185.608076218501</v>
      </c>
      <c r="AF65" s="96">
        <f t="shared" si="53"/>
        <v>82431.936730690315</v>
      </c>
      <c r="AG65" s="96">
        <f t="shared" si="53"/>
        <v>82161.050068857672</v>
      </c>
      <c r="AH65" s="96">
        <f t="shared" si="53"/>
        <v>83613.884711043414</v>
      </c>
      <c r="AI65" s="96">
        <f t="shared" si="53"/>
        <v>82953.412606385973</v>
      </c>
      <c r="AJ65" s="96">
        <f t="shared" si="53"/>
        <v>94566.885845072844</v>
      </c>
      <c r="AK65" s="96">
        <f t="shared" si="53"/>
        <v>88979.962860813292</v>
      </c>
      <c r="AL65" s="96">
        <f t="shared" si="53"/>
        <v>91075.652417187579</v>
      </c>
      <c r="AM65" s="96">
        <f t="shared" ref="AM65" si="54">IFERROR(+AM33*1000/AM5,0)</f>
        <v>0</v>
      </c>
    </row>
    <row r="66" spans="1:39" s="90" customFormat="1" ht="15" x14ac:dyDescent="0.25">
      <c r="A66" s="95" t="s">
        <v>162</v>
      </c>
      <c r="B66" s="125">
        <v>3263.1993333306359</v>
      </c>
      <c r="C66" s="125">
        <v>3296.7335513216699</v>
      </c>
      <c r="D66" s="125">
        <v>3268.7310584582247</v>
      </c>
      <c r="E66" s="125">
        <v>3280.5771383102742</v>
      </c>
      <c r="F66" s="125">
        <v>3282.4630524708118</v>
      </c>
      <c r="G66" s="125">
        <v>3270.8168663780693</v>
      </c>
      <c r="H66" s="125">
        <v>3263.8355490373037</v>
      </c>
      <c r="I66" s="125">
        <v>3261.0413497435898</v>
      </c>
      <c r="J66" s="125">
        <v>3284.5333996709028</v>
      </c>
      <c r="K66" s="125">
        <v>3273.1627314595016</v>
      </c>
      <c r="L66" s="125">
        <v>3300.5994987143281</v>
      </c>
      <c r="M66" s="125">
        <v>3289.5925638617819</v>
      </c>
      <c r="N66" s="125">
        <v>3275.629953087514</v>
      </c>
      <c r="O66" s="125">
        <v>6709.6738027653801</v>
      </c>
      <c r="P66" s="125">
        <v>6616.8163241999473</v>
      </c>
      <c r="Q66" s="125">
        <v>6620.7251765008159</v>
      </c>
      <c r="R66" s="127">
        <v>6155.3465160537089</v>
      </c>
      <c r="S66" s="96">
        <v>21373.695472661464</v>
      </c>
      <c r="T66" s="96">
        <v>21163.997180809012</v>
      </c>
      <c r="U66" s="96">
        <v>22217.69574379105</v>
      </c>
      <c r="V66" s="96">
        <v>23729.330162618826</v>
      </c>
      <c r="W66" s="96">
        <v>24532.494689560983</v>
      </c>
      <c r="X66" s="96">
        <v>24358.233244988744</v>
      </c>
      <c r="Y66" s="96">
        <v>24431.293496337039</v>
      </c>
      <c r="Z66" s="96">
        <f t="shared" ref="Z66:AL66" si="55">IFERROR(+Z34*1000/Z6,0)</f>
        <v>24052.741868741359</v>
      </c>
      <c r="AA66" s="96">
        <f t="shared" si="55"/>
        <v>25194.012305197564</v>
      </c>
      <c r="AB66" s="96">
        <f t="shared" si="55"/>
        <v>26588.104748470694</v>
      </c>
      <c r="AC66" s="96">
        <f t="shared" si="55"/>
        <v>26136.415580217355</v>
      </c>
      <c r="AD66" s="96">
        <f t="shared" si="55"/>
        <v>27712.678366557553</v>
      </c>
      <c r="AE66" s="96">
        <f t="shared" si="55"/>
        <v>28603.055476485057</v>
      </c>
      <c r="AF66" s="96">
        <f t="shared" si="55"/>
        <v>29553.963514288287</v>
      </c>
      <c r="AG66" s="96">
        <f t="shared" si="55"/>
        <v>30324.493231906359</v>
      </c>
      <c r="AH66" s="96">
        <f t="shared" si="55"/>
        <v>31519.450194638008</v>
      </c>
      <c r="AI66" s="96">
        <f t="shared" si="55"/>
        <v>32155.149861656915</v>
      </c>
      <c r="AJ66" s="96">
        <f t="shared" si="55"/>
        <v>37045.828248565544</v>
      </c>
      <c r="AK66" s="96">
        <f t="shared" si="55"/>
        <v>35164.933395345593</v>
      </c>
      <c r="AL66" s="96">
        <f t="shared" si="55"/>
        <v>35973.103780183861</v>
      </c>
      <c r="AM66" s="96">
        <f t="shared" ref="AM66" si="56">IFERROR(+AM34*1000/AM6,0)</f>
        <v>0</v>
      </c>
    </row>
    <row r="67" spans="1:39" s="90" customFormat="1" ht="15" x14ac:dyDescent="0.25">
      <c r="A67" s="95" t="s">
        <v>163</v>
      </c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8"/>
      <c r="S67" s="96">
        <v>67319.46712100388</v>
      </c>
      <c r="T67" s="96">
        <v>66696.269099370678</v>
      </c>
      <c r="U67" s="96">
        <v>69569.296669493851</v>
      </c>
      <c r="V67" s="96">
        <v>74261.487642484062</v>
      </c>
      <c r="W67" s="96">
        <v>76745.846482365931</v>
      </c>
      <c r="X67" s="96">
        <v>76823.971637825583</v>
      </c>
      <c r="Y67" s="96">
        <v>77087.72854668471</v>
      </c>
      <c r="Z67" s="96">
        <f t="shared" ref="Z67:AL67" si="57">IFERROR(+Z35*1000/Z7,0)</f>
        <v>76191.927464412511</v>
      </c>
      <c r="AA67" s="96">
        <f t="shared" si="57"/>
        <v>77473.353398377556</v>
      </c>
      <c r="AB67" s="96">
        <f t="shared" si="57"/>
        <v>80857.060522357919</v>
      </c>
      <c r="AC67" s="96">
        <f t="shared" si="57"/>
        <v>77807.62365436909</v>
      </c>
      <c r="AD67" s="96">
        <f t="shared" si="57"/>
        <v>80655.169193219888</v>
      </c>
      <c r="AE67" s="96">
        <f t="shared" si="57"/>
        <v>81795.352015332202</v>
      </c>
      <c r="AF67" s="96">
        <f t="shared" si="57"/>
        <v>83002.222611388512</v>
      </c>
      <c r="AG67" s="96">
        <f t="shared" si="57"/>
        <v>82583.460801040943</v>
      </c>
      <c r="AH67" s="96">
        <f t="shared" si="57"/>
        <v>84210.456811619486</v>
      </c>
      <c r="AI67" s="96">
        <f t="shared" si="57"/>
        <v>84515.988977423476</v>
      </c>
      <c r="AJ67" s="96">
        <f t="shared" si="57"/>
        <v>95385.58970180148</v>
      </c>
      <c r="AK67" s="96">
        <f t="shared" si="57"/>
        <v>89950.246616403878</v>
      </c>
      <c r="AL67" s="96">
        <f t="shared" si="57"/>
        <v>92190.688898365072</v>
      </c>
      <c r="AM67" s="96">
        <f t="shared" ref="AM67" si="58">IFERROR(+AM35*1000/AM7,0)</f>
        <v>0</v>
      </c>
    </row>
    <row r="68" spans="1:39" s="90" customFormat="1" ht="15" x14ac:dyDescent="0.25">
      <c r="A68" s="95" t="s">
        <v>164</v>
      </c>
      <c r="B68" s="96">
        <v>3264.0502969118365</v>
      </c>
      <c r="C68" s="96">
        <v>4069.1049216000192</v>
      </c>
      <c r="D68" s="96">
        <v>4043.2180969964916</v>
      </c>
      <c r="E68" s="96">
        <v>4046.2765682229319</v>
      </c>
      <c r="F68" s="96">
        <v>4048.5286352056928</v>
      </c>
      <c r="G68" s="96">
        <v>4047.160955914992</v>
      </c>
      <c r="H68" s="96">
        <v>4039.1842606426749</v>
      </c>
      <c r="I68" s="96">
        <v>4034.5818802277804</v>
      </c>
      <c r="J68" s="96">
        <v>4053.8374351540942</v>
      </c>
      <c r="K68" s="96">
        <v>4039.3750980133682</v>
      </c>
      <c r="L68" s="96">
        <v>4070.475605210278</v>
      </c>
      <c r="M68" s="96">
        <v>4063.0256914203187</v>
      </c>
      <c r="N68" s="96">
        <v>4051.9894288999571</v>
      </c>
      <c r="O68" s="96">
        <v>7677.3217384208629</v>
      </c>
      <c r="P68" s="96">
        <v>7598.6502056101072</v>
      </c>
      <c r="Q68" s="96">
        <v>7439.5699374675605</v>
      </c>
      <c r="R68" s="96">
        <v>6986.6607779873721</v>
      </c>
      <c r="S68" s="96">
        <v>31499.048811674129</v>
      </c>
      <c r="T68" s="96">
        <v>31250.439710427854</v>
      </c>
      <c r="U68" s="96">
        <v>32690.589648086148</v>
      </c>
      <c r="V68" s="96">
        <v>34672.598955030575</v>
      </c>
      <c r="W68" s="96">
        <v>35755.977732048479</v>
      </c>
      <c r="X68" s="96">
        <v>35753.066114953799</v>
      </c>
      <c r="Y68" s="96">
        <v>35749.34007761145</v>
      </c>
      <c r="Z68" s="96">
        <f t="shared" ref="Z68:AL68" si="59">IFERROR(+Z36*1000/Z8,0)</f>
        <v>35429.047718855931</v>
      </c>
      <c r="AA68" s="96">
        <f t="shared" si="59"/>
        <v>36758.698304479396</v>
      </c>
      <c r="AB68" s="96">
        <f t="shared" si="59"/>
        <v>38493.720693047697</v>
      </c>
      <c r="AC68" s="96">
        <f t="shared" si="59"/>
        <v>37428.573735924707</v>
      </c>
      <c r="AD68" s="96">
        <f t="shared" si="59"/>
        <v>39537.811908851443</v>
      </c>
      <c r="AE68" s="96">
        <f t="shared" si="59"/>
        <v>40626.697308031558</v>
      </c>
      <c r="AF68" s="96">
        <f t="shared" si="59"/>
        <v>41657.503714627404</v>
      </c>
      <c r="AG68" s="96">
        <f t="shared" si="59"/>
        <v>42178.608608393821</v>
      </c>
      <c r="AH68" s="96">
        <f t="shared" si="59"/>
        <v>43386.82045803369</v>
      </c>
      <c r="AI68" s="96">
        <f t="shared" si="59"/>
        <v>43597.776713832871</v>
      </c>
      <c r="AJ68" s="96">
        <f t="shared" si="59"/>
        <v>50247.422208030228</v>
      </c>
      <c r="AK68" s="96">
        <f t="shared" si="59"/>
        <v>47846.142331215247</v>
      </c>
      <c r="AL68" s="96">
        <f t="shared" si="59"/>
        <v>48934.713768005036</v>
      </c>
      <c r="AM68" s="96">
        <f t="shared" ref="AM68" si="60">IFERROR(+AM36*1000/AM8,0)</f>
        <v>0</v>
      </c>
    </row>
    <row r="69" spans="1:39" s="90" customFormat="1" ht="15" x14ac:dyDescent="0.25">
      <c r="A69" s="95" t="s">
        <v>165</v>
      </c>
      <c r="B69" s="96">
        <v>7070.0298273198914</v>
      </c>
      <c r="C69" s="96">
        <v>9623.4202515119159</v>
      </c>
      <c r="D69" s="96">
        <v>9597.369832536071</v>
      </c>
      <c r="E69" s="96">
        <v>9612.3671501843019</v>
      </c>
      <c r="F69" s="96">
        <v>21501.747749235612</v>
      </c>
      <c r="G69" s="96">
        <v>21493.420359719381</v>
      </c>
      <c r="H69" s="96">
        <v>21486.171366761759</v>
      </c>
      <c r="I69" s="96">
        <v>22847.213806901385</v>
      </c>
      <c r="J69" s="96">
        <v>22872.591411872389</v>
      </c>
      <c r="K69" s="96">
        <v>22870.144901739899</v>
      </c>
      <c r="L69" s="96">
        <v>20784.927527547854</v>
      </c>
      <c r="M69" s="96">
        <v>20773.714614088807</v>
      </c>
      <c r="N69" s="96">
        <v>20756.833775623843</v>
      </c>
      <c r="O69" s="96">
        <v>50050.896199563605</v>
      </c>
      <c r="P69" s="96">
        <v>50039.973618684737</v>
      </c>
      <c r="Q69" s="96">
        <v>50265.028976349262</v>
      </c>
      <c r="R69" s="96">
        <v>49608.05141765227</v>
      </c>
      <c r="S69" s="96">
        <v>67237.106610314862</v>
      </c>
      <c r="T69" s="96">
        <v>66591.096495330727</v>
      </c>
      <c r="U69" s="96">
        <v>69555.198676546002</v>
      </c>
      <c r="V69" s="96">
        <v>74112.587176246743</v>
      </c>
      <c r="W69" s="96">
        <v>76650.921457875447</v>
      </c>
      <c r="X69" s="96">
        <v>76701.884072546163</v>
      </c>
      <c r="Y69" s="96">
        <v>76621.920810852927</v>
      </c>
      <c r="Z69" s="96">
        <f t="shared" ref="Z69:AL69" si="61">IFERROR(+Z37*1000/Z9,0)</f>
        <v>75636.858369636189</v>
      </c>
      <c r="AA69" s="96">
        <f t="shared" si="61"/>
        <v>77126.594809224072</v>
      </c>
      <c r="AB69" s="96">
        <f t="shared" si="61"/>
        <v>80359.695443487552</v>
      </c>
      <c r="AC69" s="96">
        <f t="shared" si="61"/>
        <v>77439.193660456876</v>
      </c>
      <c r="AD69" s="96">
        <f t="shared" si="61"/>
        <v>80271.065961897402</v>
      </c>
      <c r="AE69" s="96">
        <f t="shared" si="61"/>
        <v>81517.675331775943</v>
      </c>
      <c r="AF69" s="96">
        <f t="shared" si="61"/>
        <v>82762.038690636822</v>
      </c>
      <c r="AG69" s="96">
        <f t="shared" si="61"/>
        <v>82525.28021187475</v>
      </c>
      <c r="AH69" s="96">
        <f t="shared" si="61"/>
        <v>84010.622062326787</v>
      </c>
      <c r="AI69" s="96">
        <f t="shared" si="61"/>
        <v>84078.384166181087</v>
      </c>
      <c r="AJ69" s="96">
        <f t="shared" si="61"/>
        <v>95003.526550107548</v>
      </c>
      <c r="AK69" s="96">
        <f t="shared" si="61"/>
        <v>89125.795922608188</v>
      </c>
      <c r="AL69" s="96">
        <f t="shared" si="61"/>
        <v>91692.697574269274</v>
      </c>
      <c r="AM69" s="96">
        <f t="shared" ref="AM69" si="62">IFERROR(+AM37*1000/AM9,0)</f>
        <v>0</v>
      </c>
    </row>
    <row r="70" spans="1:39" s="90" customFormat="1" ht="15" x14ac:dyDescent="0.25">
      <c r="A70" s="95" t="s">
        <v>166</v>
      </c>
      <c r="B70" s="96">
        <v>0</v>
      </c>
      <c r="C70" s="96">
        <v>0</v>
      </c>
      <c r="D70" s="96">
        <v>0</v>
      </c>
      <c r="E70" s="96"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6">
        <v>0</v>
      </c>
      <c r="L70" s="96">
        <v>0</v>
      </c>
      <c r="M70" s="96">
        <v>0</v>
      </c>
      <c r="N70" s="96">
        <v>0</v>
      </c>
      <c r="O70" s="96">
        <v>0</v>
      </c>
      <c r="P70" s="96">
        <v>0</v>
      </c>
      <c r="Q70" s="96">
        <v>0</v>
      </c>
      <c r="R70" s="96">
        <v>0</v>
      </c>
      <c r="S70" s="96">
        <v>0</v>
      </c>
      <c r="T70" s="96">
        <v>0</v>
      </c>
      <c r="U70" s="96">
        <v>0</v>
      </c>
      <c r="V70" s="96">
        <v>0</v>
      </c>
      <c r="W70" s="96">
        <v>0</v>
      </c>
      <c r="X70" s="96">
        <v>0</v>
      </c>
      <c r="Y70" s="96">
        <v>0</v>
      </c>
      <c r="Z70" s="96">
        <f t="shared" ref="Z70:AL70" si="63">IFERROR(+Z38*1000/Z10,0)</f>
        <v>0</v>
      </c>
      <c r="AA70" s="96">
        <f t="shared" si="63"/>
        <v>0</v>
      </c>
      <c r="AB70" s="96">
        <f t="shared" si="63"/>
        <v>0</v>
      </c>
      <c r="AC70" s="96">
        <f t="shared" si="63"/>
        <v>0</v>
      </c>
      <c r="AD70" s="96">
        <f t="shared" si="63"/>
        <v>0</v>
      </c>
      <c r="AE70" s="96">
        <f t="shared" si="63"/>
        <v>0</v>
      </c>
      <c r="AF70" s="96">
        <f t="shared" si="63"/>
        <v>0</v>
      </c>
      <c r="AG70" s="96">
        <f t="shared" si="63"/>
        <v>0</v>
      </c>
      <c r="AH70" s="96">
        <f t="shared" si="63"/>
        <v>0</v>
      </c>
      <c r="AI70" s="96">
        <f t="shared" si="63"/>
        <v>0</v>
      </c>
      <c r="AJ70" s="96">
        <f t="shared" si="63"/>
        <v>0</v>
      </c>
      <c r="AK70" s="96">
        <f t="shared" si="63"/>
        <v>0</v>
      </c>
      <c r="AL70" s="96">
        <f t="shared" si="63"/>
        <v>0</v>
      </c>
      <c r="AM70" s="96">
        <f t="shared" ref="AM70" si="64">IFERROR(+AM38*1000/AM10,0)</f>
        <v>0</v>
      </c>
    </row>
    <row r="71" spans="1:39" s="90" customFormat="1" ht="15" x14ac:dyDescent="0.25">
      <c r="A71" s="95" t="s">
        <v>183</v>
      </c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>
        <f t="shared" ref="AL71:AM71" si="65">IFERROR(+AL39*1000/AL11,0)</f>
        <v>28629.574457100032</v>
      </c>
      <c r="AM71" s="119">
        <f t="shared" si="65"/>
        <v>34166.831596649943</v>
      </c>
    </row>
    <row r="72" spans="1:39" s="90" customFormat="1" ht="15" x14ac:dyDescent="0.25">
      <c r="A72" s="95" t="s">
        <v>184</v>
      </c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>
        <f t="shared" ref="AL72:AM72" si="66">IFERROR(+AL40*1000/AL12,0)</f>
        <v>92097.812869098765</v>
      </c>
      <c r="AM72" s="119">
        <f t="shared" si="66"/>
        <v>106108.79034519281</v>
      </c>
    </row>
    <row r="73" spans="1:39" s="90" customFormat="1" ht="15" x14ac:dyDescent="0.25">
      <c r="A73" s="95" t="s">
        <v>185</v>
      </c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>
        <f t="shared" ref="AL73:AM73" si="67">IFERROR(+AL41*1000/AL13,0)</f>
        <v>91260.012365012051</v>
      </c>
      <c r="AM73" s="119">
        <f t="shared" si="67"/>
        <v>105663.12742536193</v>
      </c>
    </row>
    <row r="74" spans="1:39" s="90" customFormat="1" ht="15" x14ac:dyDescent="0.25">
      <c r="A74" s="98" t="s">
        <v>186</v>
      </c>
      <c r="B74" s="99">
        <f t="shared" ref="B74" si="68">IFERROR(+B42*1000/B14,0)</f>
        <v>3263.3567419105607</v>
      </c>
      <c r="C74" s="99">
        <f t="shared" ref="C74:AE74" si="69">IFERROR(+C42*1000/C14,0)</f>
        <v>3453.9339551598105</v>
      </c>
      <c r="D74" s="99">
        <f t="shared" si="69"/>
        <v>3410.9266547864067</v>
      </c>
      <c r="E74" s="99">
        <f t="shared" si="69"/>
        <v>3467.19323155447</v>
      </c>
      <c r="F74" s="99">
        <f t="shared" si="69"/>
        <v>3443.9700308522752</v>
      </c>
      <c r="G74" s="99">
        <f t="shared" si="69"/>
        <v>3402.2608425650319</v>
      </c>
      <c r="H74" s="99">
        <f t="shared" si="69"/>
        <v>3391.7620280573278</v>
      </c>
      <c r="I74" s="99">
        <f t="shared" si="69"/>
        <v>3399.3363793507715</v>
      </c>
      <c r="J74" s="99">
        <f t="shared" si="69"/>
        <v>3425.9383858632036</v>
      </c>
      <c r="K74" s="99">
        <f t="shared" si="69"/>
        <v>3424.9511381000125</v>
      </c>
      <c r="L74" s="99">
        <f t="shared" si="69"/>
        <v>3442.7538345476764</v>
      </c>
      <c r="M74" s="99">
        <f t="shared" si="69"/>
        <v>3431.989519203903</v>
      </c>
      <c r="N74" s="99">
        <f t="shared" si="69"/>
        <v>3418.521171454765</v>
      </c>
      <c r="O74" s="99">
        <f t="shared" si="69"/>
        <v>6887.3648379395318</v>
      </c>
      <c r="P74" s="99">
        <f t="shared" si="69"/>
        <v>6809.6744041521888</v>
      </c>
      <c r="Q74" s="99">
        <f t="shared" si="69"/>
        <v>6794.5627774308778</v>
      </c>
      <c r="R74" s="99">
        <f t="shared" si="69"/>
        <v>6289.3161010061895</v>
      </c>
      <c r="S74" s="99">
        <f t="shared" si="69"/>
        <v>23119.287007201699</v>
      </c>
      <c r="T74" s="99">
        <f t="shared" si="69"/>
        <v>22606.562150219117</v>
      </c>
      <c r="U74" s="99">
        <f t="shared" si="69"/>
        <v>23914.076764962007</v>
      </c>
      <c r="V74" s="99">
        <f t="shared" si="69"/>
        <v>25835.018242966493</v>
      </c>
      <c r="W74" s="99">
        <f t="shared" si="69"/>
        <v>26710.684022041551</v>
      </c>
      <c r="X74" s="99">
        <f t="shared" si="69"/>
        <v>26537.623704002235</v>
      </c>
      <c r="Y74" s="99">
        <f t="shared" si="69"/>
        <v>26782.852464592896</v>
      </c>
      <c r="Z74" s="99">
        <f t="shared" si="69"/>
        <v>26192.62771019823</v>
      </c>
      <c r="AA74" s="99">
        <f t="shared" si="69"/>
        <v>27529.085067302858</v>
      </c>
      <c r="AB74" s="99">
        <f t="shared" si="69"/>
        <v>29328.047004470878</v>
      </c>
      <c r="AC74" s="99">
        <f t="shared" si="69"/>
        <v>28904.460208815486</v>
      </c>
      <c r="AD74" s="99">
        <f t="shared" si="69"/>
        <v>30282.567667492491</v>
      </c>
      <c r="AE74" s="99">
        <f t="shared" si="69"/>
        <v>30581.318216482658</v>
      </c>
      <c r="AF74" s="99">
        <f t="shared" ref="AF74" si="70">IFERROR(+AF42*1000/AF14,0)</f>
        <v>31656.467666705172</v>
      </c>
      <c r="AG74" s="99">
        <f t="shared" ref="AG74" si="71">IFERROR(+AG42*1000/AG14,0)</f>
        <v>32690.160168349394</v>
      </c>
      <c r="AH74" s="99">
        <f t="shared" ref="AH74" si="72">IFERROR(+AH42*1000/AH14,0)</f>
        <v>34221.501746328569</v>
      </c>
      <c r="AI74" s="99">
        <f t="shared" ref="AI74" si="73">IFERROR(+AI42*1000/AI14,0)</f>
        <v>34757.910639367597</v>
      </c>
      <c r="AJ74" s="99">
        <f t="shared" ref="AJ74:AK83" si="74">IFERROR(+AJ42*1000/AJ14,0)</f>
        <v>40019.817303255237</v>
      </c>
      <c r="AK74" s="99">
        <f t="shared" si="74"/>
        <v>37603.732797295983</v>
      </c>
      <c r="AL74" s="99">
        <f t="shared" ref="AL74:AM74" si="75">IFERROR(+AL42*1000/AL14,0)</f>
        <v>33885.163325584203</v>
      </c>
      <c r="AM74" s="99">
        <f t="shared" si="75"/>
        <v>34166.831596649943</v>
      </c>
    </row>
    <row r="75" spans="1:39" s="90" customFormat="1" ht="15" x14ac:dyDescent="0.25">
      <c r="A75" s="98" t="s">
        <v>187</v>
      </c>
      <c r="B75" s="120">
        <f t="shared" ref="B75" si="76">IFERROR(+B43*1000/B15,0)</f>
        <v>7070.0298273198914</v>
      </c>
      <c r="C75" s="120">
        <f t="shared" ref="C75:AE75" si="77">IFERROR(+C43*1000/C15,0)</f>
        <v>9623.4202515119159</v>
      </c>
      <c r="D75" s="120">
        <f t="shared" si="77"/>
        <v>9597.369832536071</v>
      </c>
      <c r="E75" s="120">
        <f t="shared" si="77"/>
        <v>9612.3671501843019</v>
      </c>
      <c r="F75" s="120">
        <f t="shared" si="77"/>
        <v>21501.747749235612</v>
      </c>
      <c r="G75" s="120">
        <f t="shared" si="77"/>
        <v>21493.420359719381</v>
      </c>
      <c r="H75" s="120">
        <f t="shared" si="77"/>
        <v>21486.171366761759</v>
      </c>
      <c r="I75" s="120">
        <f t="shared" si="77"/>
        <v>22847.213806901385</v>
      </c>
      <c r="J75" s="120">
        <f t="shared" si="77"/>
        <v>22872.591411872389</v>
      </c>
      <c r="K75" s="120">
        <f t="shared" si="77"/>
        <v>22870.144901739899</v>
      </c>
      <c r="L75" s="120">
        <f t="shared" si="77"/>
        <v>20784.927527547854</v>
      </c>
      <c r="M75" s="120">
        <f t="shared" si="77"/>
        <v>20773.714614088807</v>
      </c>
      <c r="N75" s="120">
        <f t="shared" si="77"/>
        <v>20756.833775623843</v>
      </c>
      <c r="O75" s="120">
        <f t="shared" si="77"/>
        <v>50050.896199563605</v>
      </c>
      <c r="P75" s="120">
        <f t="shared" si="77"/>
        <v>50039.973618684737</v>
      </c>
      <c r="Q75" s="120">
        <f t="shared" si="77"/>
        <v>50265.028976349262</v>
      </c>
      <c r="R75" s="120">
        <f t="shared" si="77"/>
        <v>49608.05141765227</v>
      </c>
      <c r="S75" s="120">
        <f t="shared" si="77"/>
        <v>67294.862935615412</v>
      </c>
      <c r="T75" s="120">
        <f t="shared" si="77"/>
        <v>66665.053255608756</v>
      </c>
      <c r="U75" s="120">
        <f t="shared" si="77"/>
        <v>69565.021353027405</v>
      </c>
      <c r="V75" s="120">
        <f t="shared" si="77"/>
        <v>74212.057850825149</v>
      </c>
      <c r="W75" s="120">
        <f t="shared" si="77"/>
        <v>76713.548410865318</v>
      </c>
      <c r="X75" s="120">
        <f t="shared" si="77"/>
        <v>76780.420203179601</v>
      </c>
      <c r="Y75" s="120">
        <f t="shared" si="77"/>
        <v>76903.705135493976</v>
      </c>
      <c r="Z75" s="120">
        <f t="shared" si="77"/>
        <v>75962.181022360543</v>
      </c>
      <c r="AA75" s="120">
        <f t="shared" si="77"/>
        <v>77331.034534031438</v>
      </c>
      <c r="AB75" s="120">
        <f t="shared" si="77"/>
        <v>80642.874947839984</v>
      </c>
      <c r="AC75" s="120">
        <f t="shared" si="77"/>
        <v>77646.57769446852</v>
      </c>
      <c r="AD75" s="120">
        <f t="shared" si="77"/>
        <v>80500.868005491298</v>
      </c>
      <c r="AE75" s="120">
        <f t="shared" si="77"/>
        <v>81686.677856354145</v>
      </c>
      <c r="AF75" s="120">
        <f t="shared" ref="AF75" si="78">IFERROR(+AF43*1000/AF15,0)</f>
        <v>82907.481132687302</v>
      </c>
      <c r="AG75" s="120">
        <f t="shared" ref="AG75" si="79">IFERROR(+AG43*1000/AG15,0)</f>
        <v>82559.841963086874</v>
      </c>
      <c r="AH75" s="120">
        <f t="shared" ref="AH75" si="80">IFERROR(+AH43*1000/AH15,0)</f>
        <v>84128.927166137728</v>
      </c>
      <c r="AI75" s="120">
        <f t="shared" ref="AI75" si="81">IFERROR(+AI43*1000/AI15,0)</f>
        <v>84338.01666485086</v>
      </c>
      <c r="AJ75" s="120">
        <f t="shared" si="74"/>
        <v>95230.142754459026</v>
      </c>
      <c r="AK75" s="120">
        <f t="shared" si="74"/>
        <v>89593.48016932208</v>
      </c>
      <c r="AL75" s="120">
        <f t="shared" ref="AL75:AM75" si="82">IFERROR(+AL43*1000/AL15,0)</f>
        <v>92040.855022121759</v>
      </c>
      <c r="AM75" s="120">
        <f t="shared" si="82"/>
        <v>106108.79034519281</v>
      </c>
    </row>
    <row r="76" spans="1:39" s="90" customFormat="1" ht="15" x14ac:dyDescent="0.25">
      <c r="A76" s="98" t="s">
        <v>188</v>
      </c>
      <c r="B76" s="120">
        <f t="shared" ref="B76" si="83">IFERROR(+B44*1000/B16,0)</f>
        <v>7074.3740032313726</v>
      </c>
      <c r="C76" s="120">
        <f t="shared" ref="C76:AE76" si="84">IFERROR(+C44*1000/C16,0)</f>
        <v>9627.1596260796068</v>
      </c>
      <c r="D76" s="120">
        <f t="shared" si="84"/>
        <v>9600.2463055494809</v>
      </c>
      <c r="E76" s="120">
        <f t="shared" si="84"/>
        <v>9598.8122850885829</v>
      </c>
      <c r="F76" s="120">
        <f t="shared" si="84"/>
        <v>21496.621521906211</v>
      </c>
      <c r="G76" s="120">
        <f t="shared" si="84"/>
        <v>21490.486403642597</v>
      </c>
      <c r="H76" s="120">
        <f t="shared" si="84"/>
        <v>21485.783247570096</v>
      </c>
      <c r="I76" s="120">
        <f t="shared" si="84"/>
        <v>22843.645801568291</v>
      </c>
      <c r="J76" s="120">
        <f t="shared" si="84"/>
        <v>22861.144536429674</v>
      </c>
      <c r="K76" s="120">
        <f t="shared" si="84"/>
        <v>22845.695478089918</v>
      </c>
      <c r="L76" s="120">
        <f t="shared" si="84"/>
        <v>20766.688497979183</v>
      </c>
      <c r="M76" s="120">
        <f t="shared" si="84"/>
        <v>20760.721791892051</v>
      </c>
      <c r="N76" s="120">
        <f t="shared" si="84"/>
        <v>20752.591580483946</v>
      </c>
      <c r="O76" s="120">
        <f t="shared" si="84"/>
        <v>50198.396289745055</v>
      </c>
      <c r="P76" s="120">
        <f t="shared" si="84"/>
        <v>50130.577543284737</v>
      </c>
      <c r="Q76" s="120">
        <f t="shared" si="84"/>
        <v>49991.792246462785</v>
      </c>
      <c r="R76" s="120">
        <f t="shared" si="84"/>
        <v>49513.316865980392</v>
      </c>
      <c r="S76" s="120">
        <f t="shared" si="84"/>
        <v>66865.729151588705</v>
      </c>
      <c r="T76" s="120">
        <f t="shared" si="84"/>
        <v>66320.218697811317</v>
      </c>
      <c r="U76" s="120">
        <f t="shared" si="84"/>
        <v>69336.093024682516</v>
      </c>
      <c r="V76" s="120">
        <f t="shared" si="84"/>
        <v>73627.67378868394</v>
      </c>
      <c r="W76" s="120">
        <f t="shared" si="84"/>
        <v>76157.113711965299</v>
      </c>
      <c r="X76" s="120">
        <f t="shared" si="84"/>
        <v>75975.762670203359</v>
      </c>
      <c r="Y76" s="120">
        <f t="shared" si="84"/>
        <v>76020.190601205759</v>
      </c>
      <c r="Z76" s="120">
        <f t="shared" si="84"/>
        <v>75338.081612142138</v>
      </c>
      <c r="AA76" s="120">
        <f t="shared" si="84"/>
        <v>77204.877948748603</v>
      </c>
      <c r="AB76" s="120">
        <f t="shared" si="84"/>
        <v>80288.324934513148</v>
      </c>
      <c r="AC76" s="120">
        <f t="shared" si="84"/>
        <v>77027.811666403722</v>
      </c>
      <c r="AD76" s="120">
        <f t="shared" si="84"/>
        <v>79993.797278925093</v>
      </c>
      <c r="AE76" s="120">
        <f t="shared" si="84"/>
        <v>81185.608076218501</v>
      </c>
      <c r="AF76" s="120">
        <f t="shared" ref="AF76" si="85">IFERROR(+AF44*1000/AF16,0)</f>
        <v>82431.936730690315</v>
      </c>
      <c r="AG76" s="120">
        <f t="shared" ref="AG76" si="86">IFERROR(+AG44*1000/AG16,0)</f>
        <v>82161.050068857672</v>
      </c>
      <c r="AH76" s="120">
        <f t="shared" ref="AH76" si="87">IFERROR(+AH44*1000/AH16,0)</f>
        <v>83613.884711043414</v>
      </c>
      <c r="AI76" s="120">
        <f t="shared" ref="AI76" si="88">IFERROR(+AI44*1000/AI16,0)</f>
        <v>82953.412606385973</v>
      </c>
      <c r="AJ76" s="120">
        <f t="shared" si="74"/>
        <v>94566.885845072844</v>
      </c>
      <c r="AK76" s="120">
        <f t="shared" si="74"/>
        <v>88979.962860813292</v>
      </c>
      <c r="AL76" s="120">
        <f t="shared" ref="AL76:AM76" si="89">IFERROR(+AL44*1000/AL16,0)</f>
        <v>91169.862842352566</v>
      </c>
      <c r="AM76" s="120">
        <f t="shared" si="89"/>
        <v>105663.12742536193</v>
      </c>
    </row>
    <row r="77" spans="1:39" s="90" customFormat="1" ht="15" x14ac:dyDescent="0.25">
      <c r="A77" s="98" t="s">
        <v>166</v>
      </c>
      <c r="B77" s="120">
        <f t="shared" ref="B77" si="90">IFERROR(+B45*1000/B17,0)</f>
        <v>0</v>
      </c>
      <c r="C77" s="120">
        <f t="shared" ref="C77:AE77" si="91">IFERROR(+C45*1000/C17,0)</f>
        <v>0</v>
      </c>
      <c r="D77" s="120">
        <f t="shared" si="91"/>
        <v>0</v>
      </c>
      <c r="E77" s="120">
        <f t="shared" si="91"/>
        <v>0</v>
      </c>
      <c r="F77" s="120">
        <f t="shared" si="91"/>
        <v>0</v>
      </c>
      <c r="G77" s="120">
        <f t="shared" si="91"/>
        <v>0</v>
      </c>
      <c r="H77" s="120">
        <f t="shared" si="91"/>
        <v>0</v>
      </c>
      <c r="I77" s="120">
        <f t="shared" si="91"/>
        <v>0</v>
      </c>
      <c r="J77" s="120">
        <f t="shared" si="91"/>
        <v>0</v>
      </c>
      <c r="K77" s="120">
        <f t="shared" si="91"/>
        <v>0</v>
      </c>
      <c r="L77" s="120">
        <f t="shared" si="91"/>
        <v>0</v>
      </c>
      <c r="M77" s="120">
        <f t="shared" si="91"/>
        <v>0</v>
      </c>
      <c r="N77" s="120">
        <f t="shared" si="91"/>
        <v>0</v>
      </c>
      <c r="O77" s="120">
        <f t="shared" si="91"/>
        <v>0</v>
      </c>
      <c r="P77" s="120">
        <f t="shared" si="91"/>
        <v>0</v>
      </c>
      <c r="Q77" s="120">
        <f t="shared" si="91"/>
        <v>0</v>
      </c>
      <c r="R77" s="120">
        <f t="shared" si="91"/>
        <v>0</v>
      </c>
      <c r="S77" s="120">
        <f t="shared" si="91"/>
        <v>0</v>
      </c>
      <c r="T77" s="120">
        <f t="shared" si="91"/>
        <v>0</v>
      </c>
      <c r="U77" s="120">
        <f t="shared" si="91"/>
        <v>0</v>
      </c>
      <c r="V77" s="120">
        <f t="shared" si="91"/>
        <v>0</v>
      </c>
      <c r="W77" s="120">
        <f t="shared" si="91"/>
        <v>0</v>
      </c>
      <c r="X77" s="120">
        <f t="shared" si="91"/>
        <v>0</v>
      </c>
      <c r="Y77" s="120">
        <f t="shared" si="91"/>
        <v>0</v>
      </c>
      <c r="Z77" s="120">
        <f t="shared" si="91"/>
        <v>0</v>
      </c>
      <c r="AA77" s="120">
        <f t="shared" si="91"/>
        <v>0</v>
      </c>
      <c r="AB77" s="120">
        <f t="shared" si="91"/>
        <v>0</v>
      </c>
      <c r="AC77" s="120">
        <f t="shared" si="91"/>
        <v>0</v>
      </c>
      <c r="AD77" s="120">
        <f t="shared" si="91"/>
        <v>0</v>
      </c>
      <c r="AE77" s="120">
        <f t="shared" si="91"/>
        <v>0</v>
      </c>
      <c r="AF77" s="120">
        <f t="shared" ref="AF77" si="92">IFERROR(+AF45*1000/AF17,0)</f>
        <v>0</v>
      </c>
      <c r="AG77" s="120">
        <f t="shared" ref="AG77" si="93">IFERROR(+AG45*1000/AG17,0)</f>
        <v>0</v>
      </c>
      <c r="AH77" s="120">
        <f t="shared" ref="AH77" si="94">IFERROR(+AH45*1000/AH17,0)</f>
        <v>0</v>
      </c>
      <c r="AI77" s="120">
        <f t="shared" ref="AI77" si="95">IFERROR(+AI45*1000/AI17,0)</f>
        <v>0</v>
      </c>
      <c r="AJ77" s="120">
        <f t="shared" si="74"/>
        <v>0</v>
      </c>
      <c r="AK77" s="120">
        <f t="shared" si="74"/>
        <v>0</v>
      </c>
      <c r="AL77" s="120">
        <f t="shared" ref="AL77:AM77" si="96">IFERROR(+AL45*1000/AL17,0)</f>
        <v>0</v>
      </c>
      <c r="AM77" s="120">
        <f t="shared" si="96"/>
        <v>0</v>
      </c>
    </row>
    <row r="78" spans="1:39" s="90" customFormat="1" ht="15" x14ac:dyDescent="0.25">
      <c r="A78" s="121" t="s">
        <v>189</v>
      </c>
      <c r="B78" s="122">
        <f t="shared" ref="B78" si="97">IFERROR(+B46*1000/B18,0)</f>
        <v>4282.988185719998</v>
      </c>
      <c r="C78" s="122">
        <f t="shared" ref="C78:AE78" si="98">IFERROR(+C46*1000/C18,0)</f>
        <v>5170.3424828706075</v>
      </c>
      <c r="D78" s="122">
        <f t="shared" si="98"/>
        <v>5115.4721347796785</v>
      </c>
      <c r="E78" s="122">
        <f t="shared" si="98"/>
        <v>5269.9998075497087</v>
      </c>
      <c r="F78" s="122">
        <f t="shared" si="98"/>
        <v>8333.1788458393494</v>
      </c>
      <c r="G78" s="122">
        <f t="shared" si="98"/>
        <v>7733.2630669666132</v>
      </c>
      <c r="H78" s="122">
        <f t="shared" si="98"/>
        <v>7722.1480550611313</v>
      </c>
      <c r="I78" s="122">
        <f t="shared" si="98"/>
        <v>8227.5532769073798</v>
      </c>
      <c r="J78" s="122">
        <f t="shared" si="98"/>
        <v>8197.7131031771878</v>
      </c>
      <c r="K78" s="122">
        <f t="shared" si="98"/>
        <v>8201.8885283712934</v>
      </c>
      <c r="L78" s="122">
        <f t="shared" si="98"/>
        <v>7558.8812149072783</v>
      </c>
      <c r="M78" s="122">
        <f t="shared" si="98"/>
        <v>7462.3498129387108</v>
      </c>
      <c r="N78" s="122">
        <f t="shared" si="98"/>
        <v>7792.3862290205452</v>
      </c>
      <c r="O78" s="122">
        <f t="shared" si="98"/>
        <v>17987.841766704492</v>
      </c>
      <c r="P78" s="122">
        <f t="shared" si="98"/>
        <v>18549.638242271776</v>
      </c>
      <c r="Q78" s="122">
        <f t="shared" si="98"/>
        <v>18718.536434046971</v>
      </c>
      <c r="R78" s="122">
        <f t="shared" si="98"/>
        <v>16524.583280069117</v>
      </c>
      <c r="S78" s="122">
        <f t="shared" si="98"/>
        <v>38500.937659909963</v>
      </c>
      <c r="T78" s="122">
        <f t="shared" si="98"/>
        <v>38242.364486722014</v>
      </c>
      <c r="U78" s="122">
        <f t="shared" si="98"/>
        <v>40571.413012385157</v>
      </c>
      <c r="V78" s="122">
        <f t="shared" si="98"/>
        <v>43585.298663610258</v>
      </c>
      <c r="W78" s="122">
        <f t="shared" si="98"/>
        <v>45310.182537038309</v>
      </c>
      <c r="X78" s="122">
        <f t="shared" si="98"/>
        <v>45917.747642324219</v>
      </c>
      <c r="Y78" s="122">
        <f t="shared" si="98"/>
        <v>47292.434373638251</v>
      </c>
      <c r="Z78" s="122">
        <f t="shared" si="98"/>
        <v>47841.517729041276</v>
      </c>
      <c r="AA78" s="122">
        <f t="shared" si="98"/>
        <v>50712.297901083868</v>
      </c>
      <c r="AB78" s="122">
        <f t="shared" si="98"/>
        <v>53842.045866275417</v>
      </c>
      <c r="AC78" s="122">
        <f t="shared" si="98"/>
        <v>50523.817501622187</v>
      </c>
      <c r="AD78" s="122">
        <f t="shared" si="98"/>
        <v>51073.198530496666</v>
      </c>
      <c r="AE78" s="122">
        <f t="shared" si="98"/>
        <v>50190.68698479297</v>
      </c>
      <c r="AF78" s="122">
        <f t="shared" ref="AF78" si="99">IFERROR(+AF46*1000/AF18,0)</f>
        <v>52271.33059440436</v>
      </c>
      <c r="AG78" s="122">
        <f t="shared" ref="AG78" si="100">IFERROR(+AG46*1000/AG18,0)</f>
        <v>53416.699835896419</v>
      </c>
      <c r="AH78" s="122">
        <f t="shared" ref="AH78" si="101">IFERROR(+AH46*1000/AH18,0)</f>
        <v>55683.51821692985</v>
      </c>
      <c r="AI78" s="122">
        <f t="shared" ref="AI78" si="102">IFERROR(+AI46*1000/AI18,0)</f>
        <v>55236.822491755949</v>
      </c>
      <c r="AJ78" s="122">
        <f t="shared" si="74"/>
        <v>62802.685189522912</v>
      </c>
      <c r="AK78" s="122">
        <f t="shared" si="74"/>
        <v>59438.070422788209</v>
      </c>
      <c r="AL78" s="122">
        <f t="shared" ref="AL78:AM78" si="103">IFERROR(+AL46*1000/AL18,0)</f>
        <v>60528.728584851124</v>
      </c>
      <c r="AM78" s="122">
        <f t="shared" si="103"/>
        <v>68582.29736429335</v>
      </c>
    </row>
    <row r="79" spans="1:39" s="90" customFormat="1" ht="15" x14ac:dyDescent="0.25">
      <c r="A79" s="95" t="s">
        <v>167</v>
      </c>
      <c r="B79" s="96">
        <f t="shared" ref="B79" si="104">IFERROR(+B47*1000/B19,0)</f>
        <v>3300.5437736165791</v>
      </c>
      <c r="C79" s="96">
        <f t="shared" ref="C79:AE79" si="105">IFERROR(+C47*1000/C19,0)</f>
        <v>3330.9714625344982</v>
      </c>
      <c r="D79" s="96">
        <f t="shared" si="105"/>
        <v>3268.1405477264693</v>
      </c>
      <c r="E79" s="96">
        <f t="shared" si="105"/>
        <v>3260.3648669152344</v>
      </c>
      <c r="F79" s="96">
        <f t="shared" si="105"/>
        <v>3267.6557355314194</v>
      </c>
      <c r="G79" s="96">
        <f t="shared" si="105"/>
        <v>3274.9198204263976</v>
      </c>
      <c r="H79" s="96">
        <f t="shared" si="105"/>
        <v>3266.6047859885775</v>
      </c>
      <c r="I79" s="96">
        <f t="shared" si="105"/>
        <v>3260.0541520973657</v>
      </c>
      <c r="J79" s="96">
        <f t="shared" si="105"/>
        <v>3257.9330183742209</v>
      </c>
      <c r="K79" s="96">
        <f t="shared" si="105"/>
        <v>3256.4223564126728</v>
      </c>
      <c r="L79" s="96">
        <f t="shared" si="105"/>
        <v>3284.9587722734277</v>
      </c>
      <c r="M79" s="96">
        <f t="shared" si="105"/>
        <v>3274.7753592702629</v>
      </c>
      <c r="N79" s="96">
        <f t="shared" si="105"/>
        <v>3278.1785190045066</v>
      </c>
      <c r="O79" s="96">
        <f t="shared" si="105"/>
        <v>6985.7687591235654</v>
      </c>
      <c r="P79" s="96">
        <f t="shared" si="105"/>
        <v>6819.1458231410406</v>
      </c>
      <c r="Q79" s="96">
        <f t="shared" si="105"/>
        <v>6590.3258913941345</v>
      </c>
      <c r="R79" s="96">
        <f t="shared" si="105"/>
        <v>6202.6276424478565</v>
      </c>
      <c r="S79" s="96">
        <f t="shared" si="105"/>
        <v>21911.98807293471</v>
      </c>
      <c r="T79" s="96">
        <f t="shared" si="105"/>
        <v>21480.895750629155</v>
      </c>
      <c r="U79" s="96">
        <f t="shared" si="105"/>
        <v>21937.909251569654</v>
      </c>
      <c r="V79" s="96">
        <f t="shared" si="105"/>
        <v>23348.051116070044</v>
      </c>
      <c r="W79" s="96">
        <f t="shared" si="105"/>
        <v>24065.562898944441</v>
      </c>
      <c r="X79" s="96">
        <f t="shared" si="105"/>
        <v>23931.274516388967</v>
      </c>
      <c r="Y79" s="96">
        <f t="shared" si="105"/>
        <v>23972.126830191228</v>
      </c>
      <c r="Z79" s="96">
        <f t="shared" si="105"/>
        <v>23836.090543610542</v>
      </c>
      <c r="AA79" s="96">
        <f t="shared" si="105"/>
        <v>25000.826134550309</v>
      </c>
      <c r="AB79" s="96">
        <f t="shared" si="105"/>
        <v>26227.262844959183</v>
      </c>
      <c r="AC79" s="96">
        <f t="shared" si="105"/>
        <v>25660.683191061144</v>
      </c>
      <c r="AD79" s="96">
        <f t="shared" si="105"/>
        <v>27360.183306573061</v>
      </c>
      <c r="AE79" s="96">
        <f t="shared" si="105"/>
        <v>28324.266654071253</v>
      </c>
      <c r="AF79" s="96">
        <f t="shared" ref="AF79" si="106">IFERROR(+AF47*1000/AF19,0)</f>
        <v>29155.777845781853</v>
      </c>
      <c r="AG79" s="96">
        <f t="shared" ref="AG79" si="107">IFERROR(+AG47*1000/AG19,0)</f>
        <v>29872.060819359984</v>
      </c>
      <c r="AH79" s="96">
        <f t="shared" ref="AH79" si="108">IFERROR(+AH47*1000/AH19,0)</f>
        <v>30970.855034947537</v>
      </c>
      <c r="AI79" s="96">
        <f t="shared" ref="AI79" si="109">IFERROR(+AI47*1000/AI19,0)</f>
        <v>31007.398747043342</v>
      </c>
      <c r="AJ79" s="96">
        <f t="shared" si="74"/>
        <v>35581.123557607243</v>
      </c>
      <c r="AK79" s="96">
        <f t="shared" si="74"/>
        <v>34560.495528036634</v>
      </c>
      <c r="AL79" s="96">
        <f t="shared" ref="AL79:AM79" si="110">IFERROR(+AL47*1000/AL19,0)</f>
        <v>35135.413359336271</v>
      </c>
      <c r="AM79" s="96">
        <f t="shared" si="110"/>
        <v>34111.151425770739</v>
      </c>
    </row>
    <row r="80" spans="1:39" s="90" customFormat="1" ht="15" x14ac:dyDescent="0.25">
      <c r="A80" s="95" t="s">
        <v>168</v>
      </c>
      <c r="B80" s="127">
        <v>7729.8015245247871</v>
      </c>
      <c r="C80" s="96">
        <f t="shared" ref="C80:AE80" si="111">IFERROR(+C48*1000/C20,0)</f>
        <v>7760.3757417177803</v>
      </c>
      <c r="D80" s="96">
        <f t="shared" si="111"/>
        <v>7734.3440932485182</v>
      </c>
      <c r="E80" s="96">
        <f t="shared" si="111"/>
        <v>7729.7434502471842</v>
      </c>
      <c r="F80" s="96">
        <f t="shared" si="111"/>
        <v>7737.6992671488197</v>
      </c>
      <c r="G80" s="96">
        <f t="shared" si="111"/>
        <v>7736.2633976229135</v>
      </c>
      <c r="H80" s="96">
        <f t="shared" si="111"/>
        <v>7731.4148458784603</v>
      </c>
      <c r="I80" s="96">
        <f t="shared" si="111"/>
        <v>8992.6397987076052</v>
      </c>
      <c r="J80" s="96">
        <f t="shared" si="111"/>
        <v>9008.8742306276672</v>
      </c>
      <c r="K80" s="96">
        <f t="shared" si="111"/>
        <v>8994.5639688548054</v>
      </c>
      <c r="L80" s="96">
        <f t="shared" si="111"/>
        <v>9027.4562994738208</v>
      </c>
      <c r="M80" s="96">
        <f t="shared" si="111"/>
        <v>9019.9641155450918</v>
      </c>
      <c r="N80" s="96">
        <f t="shared" si="111"/>
        <v>9010.6967485362766</v>
      </c>
      <c r="O80" s="96">
        <f t="shared" si="111"/>
        <v>50335.490552576986</v>
      </c>
      <c r="P80" s="96">
        <f t="shared" si="111"/>
        <v>50214.847417616067</v>
      </c>
      <c r="Q80" s="96">
        <f t="shared" si="111"/>
        <v>50027.496932585374</v>
      </c>
      <c r="R80" s="96">
        <f t="shared" si="111"/>
        <v>49636.033483056111</v>
      </c>
      <c r="S80" s="96">
        <f t="shared" si="111"/>
        <v>67036.544483930877</v>
      </c>
      <c r="T80" s="96">
        <f t="shared" si="111"/>
        <v>66656.713122711924</v>
      </c>
      <c r="U80" s="96">
        <f t="shared" si="111"/>
        <v>69611.028931660927</v>
      </c>
      <c r="V80" s="96">
        <f t="shared" si="111"/>
        <v>73810.255418342917</v>
      </c>
      <c r="W80" s="96">
        <f t="shared" si="111"/>
        <v>76127.780381626959</v>
      </c>
      <c r="X80" s="96">
        <f t="shared" si="111"/>
        <v>76069.671914190752</v>
      </c>
      <c r="Y80" s="96">
        <f t="shared" si="111"/>
        <v>76134.637979813764</v>
      </c>
      <c r="Z80" s="96">
        <f t="shared" si="111"/>
        <v>75510.300314291162</v>
      </c>
      <c r="AA80" s="96">
        <f t="shared" si="111"/>
        <v>77375.668192329278</v>
      </c>
      <c r="AB80" s="96">
        <f t="shared" si="111"/>
        <v>80391.733396697789</v>
      </c>
      <c r="AC80" s="96">
        <f t="shared" si="111"/>
        <v>77086.611227104222</v>
      </c>
      <c r="AD80" s="96">
        <f t="shared" si="111"/>
        <v>80121.696157513885</v>
      </c>
      <c r="AE80" s="96">
        <f t="shared" si="111"/>
        <v>81472.234953483799</v>
      </c>
      <c r="AF80" s="96">
        <f t="shared" ref="AF80" si="112">IFERROR(+AF48*1000/AF20,0)</f>
        <v>82624.655866276167</v>
      </c>
      <c r="AG80" s="96">
        <f t="shared" ref="AG80" si="113">IFERROR(+AG48*1000/AG20,0)</f>
        <v>82365.133756963653</v>
      </c>
      <c r="AH80" s="96">
        <f t="shared" ref="AH80" si="114">IFERROR(+AH48*1000/AH20,0)</f>
        <v>83562.036145455117</v>
      </c>
      <c r="AI80" s="96">
        <f t="shared" ref="AI80" si="115">IFERROR(+AI48*1000/AI20,0)</f>
        <v>83060.494902767779</v>
      </c>
      <c r="AJ80" s="96">
        <f t="shared" si="74"/>
        <v>87796.670660543052</v>
      </c>
      <c r="AK80" s="96">
        <f t="shared" si="74"/>
        <v>80567.690329542864</v>
      </c>
      <c r="AL80" s="96">
        <f t="shared" ref="AL80:AM80" si="116">IFERROR(+AL48*1000/AL20,0)</f>
        <v>80467.076989539099</v>
      </c>
      <c r="AM80" s="96">
        <f t="shared" si="116"/>
        <v>0</v>
      </c>
    </row>
    <row r="81" spans="1:39" s="90" customFormat="1" ht="15" x14ac:dyDescent="0.25">
      <c r="A81" s="95" t="s">
        <v>169</v>
      </c>
      <c r="B81" s="129"/>
      <c r="C81" s="96">
        <f t="shared" ref="C81:AE81" si="117">IFERROR(+C49*1000/C21,0)</f>
        <v>10024.429330674571</v>
      </c>
      <c r="D81" s="96">
        <f t="shared" si="117"/>
        <v>9998.1617979601779</v>
      </c>
      <c r="E81" s="96">
        <f t="shared" si="117"/>
        <v>9997.0132712916038</v>
      </c>
      <c r="F81" s="96">
        <f t="shared" si="117"/>
        <v>13562.319899772805</v>
      </c>
      <c r="G81" s="96">
        <f t="shared" si="117"/>
        <v>13558.557370425962</v>
      </c>
      <c r="H81" s="96">
        <f t="shared" si="117"/>
        <v>13555.26235570449</v>
      </c>
      <c r="I81" s="96">
        <f t="shared" si="117"/>
        <v>15808.031513073092</v>
      </c>
      <c r="J81" s="96">
        <f t="shared" si="117"/>
        <v>15825.306366052902</v>
      </c>
      <c r="K81" s="96">
        <f t="shared" si="117"/>
        <v>15812.0820105529</v>
      </c>
      <c r="L81" s="96">
        <f t="shared" si="117"/>
        <v>15839.207962203485</v>
      </c>
      <c r="M81" s="96">
        <f t="shared" si="117"/>
        <v>15836.766648128347</v>
      </c>
      <c r="N81" s="96">
        <f t="shared" si="117"/>
        <v>15827.198392247259</v>
      </c>
      <c r="O81" s="96">
        <f t="shared" si="117"/>
        <v>50353.492464139847</v>
      </c>
      <c r="P81" s="96">
        <f t="shared" si="117"/>
        <v>50203.932452050583</v>
      </c>
      <c r="Q81" s="96">
        <f t="shared" si="117"/>
        <v>50041.716612454067</v>
      </c>
      <c r="R81" s="96">
        <f t="shared" si="117"/>
        <v>49598.774458611872</v>
      </c>
      <c r="S81" s="96">
        <f t="shared" si="117"/>
        <v>67028.867180786969</v>
      </c>
      <c r="T81" s="96">
        <f t="shared" si="117"/>
        <v>66605.754359519415</v>
      </c>
      <c r="U81" s="96">
        <f t="shared" si="117"/>
        <v>69595.794164498977</v>
      </c>
      <c r="V81" s="96">
        <f t="shared" si="117"/>
        <v>73867.336917238892</v>
      </c>
      <c r="W81" s="96">
        <f t="shared" si="117"/>
        <v>76307.406228711421</v>
      </c>
      <c r="X81" s="96">
        <f t="shared" si="117"/>
        <v>76244.121081162972</v>
      </c>
      <c r="Y81" s="96">
        <f t="shared" si="117"/>
        <v>76260.864758784519</v>
      </c>
      <c r="Z81" s="96">
        <f t="shared" si="117"/>
        <v>75590.314396447036</v>
      </c>
      <c r="AA81" s="96">
        <f t="shared" si="117"/>
        <v>77227.455067825358</v>
      </c>
      <c r="AB81" s="96">
        <f t="shared" si="117"/>
        <v>80308.577866657739</v>
      </c>
      <c r="AC81" s="96">
        <f t="shared" si="117"/>
        <v>77153.378315139169</v>
      </c>
      <c r="AD81" s="96">
        <f t="shared" si="117"/>
        <v>79971.958632700538</v>
      </c>
      <c r="AE81" s="96">
        <f t="shared" si="117"/>
        <v>81405.593286674834</v>
      </c>
      <c r="AF81" s="96">
        <f t="shared" ref="AF81" si="118">IFERROR(+AF49*1000/AF21,0)</f>
        <v>82609.739462776532</v>
      </c>
      <c r="AG81" s="96">
        <f t="shared" ref="AG81" si="119">IFERROR(+AG49*1000/AG21,0)</f>
        <v>82382.70540121253</v>
      </c>
      <c r="AH81" s="96">
        <f t="shared" ref="AH81" si="120">IFERROR(+AH49*1000/AH21,0)</f>
        <v>83627.816067969121</v>
      </c>
      <c r="AI81" s="96">
        <f t="shared" ref="AI81" si="121">IFERROR(+AI49*1000/AI21,0)</f>
        <v>83219.664655953442</v>
      </c>
      <c r="AJ81" s="96">
        <f t="shared" si="74"/>
        <v>87782.823890520376</v>
      </c>
      <c r="AK81" s="96">
        <f t="shared" si="74"/>
        <v>80598.04417446912</v>
      </c>
      <c r="AL81" s="96">
        <f t="shared" ref="AL81:AM81" si="122">IFERROR(+AL49*1000/AL21,0)</f>
        <v>80585.326945406021</v>
      </c>
      <c r="AM81" s="96">
        <f t="shared" si="122"/>
        <v>0</v>
      </c>
    </row>
    <row r="82" spans="1:39" s="90" customFormat="1" ht="15" x14ac:dyDescent="0.25">
      <c r="A82" s="95" t="s">
        <v>170</v>
      </c>
      <c r="B82" s="129"/>
      <c r="C82" s="96">
        <f t="shared" ref="C82:AE82" si="123">IFERROR(+C50*1000/C22,0)</f>
        <v>10019.770042802083</v>
      </c>
      <c r="D82" s="96">
        <f t="shared" si="123"/>
        <v>9994.755244507709</v>
      </c>
      <c r="E82" s="96">
        <f t="shared" si="123"/>
        <v>9991.2429059367805</v>
      </c>
      <c r="F82" s="96">
        <f t="shared" si="123"/>
        <v>13561.28391512726</v>
      </c>
      <c r="G82" s="96">
        <f t="shared" si="123"/>
        <v>13557.459942282561</v>
      </c>
      <c r="H82" s="96">
        <f t="shared" si="123"/>
        <v>13552.496966057706</v>
      </c>
      <c r="I82" s="96">
        <f t="shared" si="123"/>
        <v>15804.299078971955</v>
      </c>
      <c r="J82" s="96">
        <f t="shared" si="123"/>
        <v>15819.076828050986</v>
      </c>
      <c r="K82" s="96">
        <f t="shared" si="123"/>
        <v>15805.566022483596</v>
      </c>
      <c r="L82" s="96">
        <f t="shared" si="123"/>
        <v>15837.118475519439</v>
      </c>
      <c r="M82" s="96">
        <f t="shared" si="123"/>
        <v>15829.279198640892</v>
      </c>
      <c r="N82" s="96">
        <f t="shared" si="123"/>
        <v>15822.239241850224</v>
      </c>
      <c r="O82" s="96">
        <f t="shared" si="123"/>
        <v>50292.055519813257</v>
      </c>
      <c r="P82" s="96">
        <f t="shared" si="123"/>
        <v>50147.977069770612</v>
      </c>
      <c r="Q82" s="96">
        <f t="shared" si="123"/>
        <v>49995.989695415999</v>
      </c>
      <c r="R82" s="96">
        <f t="shared" si="123"/>
        <v>49541.432213030617</v>
      </c>
      <c r="S82" s="96">
        <f t="shared" si="123"/>
        <v>66941.69022900959</v>
      </c>
      <c r="T82" s="96">
        <f t="shared" si="123"/>
        <v>66488.160924387179</v>
      </c>
      <c r="U82" s="96">
        <f t="shared" si="123"/>
        <v>69548.452723652794</v>
      </c>
      <c r="V82" s="96">
        <f t="shared" si="123"/>
        <v>73688.157043233179</v>
      </c>
      <c r="W82" s="96">
        <f t="shared" si="123"/>
        <v>75987.799588177775</v>
      </c>
      <c r="X82" s="96">
        <f t="shared" si="123"/>
        <v>75919.223923484591</v>
      </c>
      <c r="Y82" s="96">
        <f t="shared" si="123"/>
        <v>75954.373125320082</v>
      </c>
      <c r="Z82" s="96">
        <f t="shared" si="123"/>
        <v>75466.793356109643</v>
      </c>
      <c r="AA82" s="96">
        <f t="shared" si="123"/>
        <v>77321.305975578405</v>
      </c>
      <c r="AB82" s="96">
        <f t="shared" si="123"/>
        <v>80222.557374271521</v>
      </c>
      <c r="AC82" s="96">
        <f t="shared" si="123"/>
        <v>77073.898804520024</v>
      </c>
      <c r="AD82" s="96">
        <f t="shared" si="123"/>
        <v>80158.124513786228</v>
      </c>
      <c r="AE82" s="96">
        <f t="shared" si="123"/>
        <v>81401.925270329477</v>
      </c>
      <c r="AF82" s="96">
        <f t="shared" ref="AF82" si="124">IFERROR(+AF50*1000/AF22,0)</f>
        <v>82471.776537243219</v>
      </c>
      <c r="AG82" s="96">
        <f t="shared" ref="AG82" si="125">IFERROR(+AG50*1000/AG22,0)</f>
        <v>82397.864392534175</v>
      </c>
      <c r="AH82" s="96">
        <f t="shared" ref="AH82" si="126">IFERROR(+AH50*1000/AH22,0)</f>
        <v>83515.070744369776</v>
      </c>
      <c r="AI82" s="96">
        <f t="shared" ref="AI82" si="127">IFERROR(+AI50*1000/AI22,0)</f>
        <v>83041.000107213447</v>
      </c>
      <c r="AJ82" s="96">
        <f t="shared" si="74"/>
        <v>87476.350162000715</v>
      </c>
      <c r="AK82" s="96">
        <f t="shared" si="74"/>
        <v>80415.372515021081</v>
      </c>
      <c r="AL82" s="96">
        <f t="shared" ref="AL82:AM82" si="128">IFERROR(+AL50*1000/AL22,0)</f>
        <v>80284.63729851057</v>
      </c>
      <c r="AM82" s="96">
        <f t="shared" si="128"/>
        <v>0</v>
      </c>
    </row>
    <row r="83" spans="1:39" s="90" customFormat="1" ht="15" x14ac:dyDescent="0.25">
      <c r="A83" s="95" t="s">
        <v>171</v>
      </c>
      <c r="B83" s="130"/>
      <c r="C83" s="96">
        <f t="shared" ref="C83:AE83" si="129">IFERROR(+C51*1000/C23,0)</f>
        <v>0</v>
      </c>
      <c r="D83" s="96">
        <f t="shared" si="129"/>
        <v>0</v>
      </c>
      <c r="E83" s="96">
        <f t="shared" si="129"/>
        <v>0</v>
      </c>
      <c r="F83" s="96">
        <f t="shared" si="129"/>
        <v>11991.132862540346</v>
      </c>
      <c r="G83" s="96">
        <f t="shared" si="129"/>
        <v>11988.757728651719</v>
      </c>
      <c r="H83" s="96">
        <f t="shared" si="129"/>
        <v>11983.341996011886</v>
      </c>
      <c r="I83" s="96">
        <f t="shared" si="129"/>
        <v>15799.402956366366</v>
      </c>
      <c r="J83" s="96">
        <f t="shared" si="129"/>
        <v>15815.253588368623</v>
      </c>
      <c r="K83" s="96">
        <f t="shared" si="129"/>
        <v>15802.365500562913</v>
      </c>
      <c r="L83" s="96">
        <f t="shared" si="129"/>
        <v>15830.62198805857</v>
      </c>
      <c r="M83" s="96">
        <f t="shared" si="129"/>
        <v>15824.249124136812</v>
      </c>
      <c r="N83" s="96">
        <f t="shared" si="129"/>
        <v>15817.126368940502</v>
      </c>
      <c r="O83" s="96">
        <f t="shared" si="129"/>
        <v>50232.316799812659</v>
      </c>
      <c r="P83" s="96">
        <f t="shared" si="129"/>
        <v>50130.399406654549</v>
      </c>
      <c r="Q83" s="96">
        <f t="shared" si="129"/>
        <v>49939.169525013502</v>
      </c>
      <c r="R83" s="96">
        <f t="shared" si="129"/>
        <v>49548.377184793469</v>
      </c>
      <c r="S83" s="96">
        <f t="shared" si="129"/>
        <v>66948.499847602725</v>
      </c>
      <c r="T83" s="96">
        <f t="shared" si="129"/>
        <v>66542.593128304885</v>
      </c>
      <c r="U83" s="96">
        <f t="shared" si="129"/>
        <v>69580.447305096473</v>
      </c>
      <c r="V83" s="96">
        <f t="shared" si="129"/>
        <v>73751.197119758188</v>
      </c>
      <c r="W83" s="96">
        <f t="shared" si="129"/>
        <v>76051.314412423468</v>
      </c>
      <c r="X83" s="96">
        <f t="shared" si="129"/>
        <v>75932.634889423032</v>
      </c>
      <c r="Y83" s="96">
        <f t="shared" si="129"/>
        <v>75948.404929744735</v>
      </c>
      <c r="Z83" s="96">
        <f t="shared" si="129"/>
        <v>75384.061076149475</v>
      </c>
      <c r="AA83" s="96">
        <f t="shared" si="129"/>
        <v>77227.533236079427</v>
      </c>
      <c r="AB83" s="96">
        <f t="shared" si="129"/>
        <v>80176.825680559428</v>
      </c>
      <c r="AC83" s="96">
        <f t="shared" si="129"/>
        <v>77258.88271117823</v>
      </c>
      <c r="AD83" s="96">
        <f t="shared" si="129"/>
        <v>80196.365514792487</v>
      </c>
      <c r="AE83" s="96">
        <f t="shared" si="129"/>
        <v>81543.829623506244</v>
      </c>
      <c r="AF83" s="96">
        <f t="shared" ref="AF83" si="130">IFERROR(+AF51*1000/AF23,0)</f>
        <v>82670.786052815311</v>
      </c>
      <c r="AG83" s="96">
        <f t="shared" ref="AG83" si="131">IFERROR(+AG51*1000/AG23,0)</f>
        <v>82537.827334399626</v>
      </c>
      <c r="AH83" s="96">
        <f t="shared" ref="AH83" si="132">IFERROR(+AH51*1000/AH23,0)</f>
        <v>83616.952294000381</v>
      </c>
      <c r="AI83" s="96">
        <f t="shared" ref="AI83" si="133">IFERROR(+AI51*1000/AI23,0)</f>
        <v>83246.95426089174</v>
      </c>
      <c r="AJ83" s="96">
        <f t="shared" si="74"/>
        <v>87770.068580865773</v>
      </c>
      <c r="AK83" s="96">
        <f t="shared" si="74"/>
        <v>80878.235551220525</v>
      </c>
      <c r="AL83" s="96">
        <f t="shared" ref="AL83:AM83" si="134">IFERROR(+AL51*1000/AL23,0)</f>
        <v>80646.842456223661</v>
      </c>
      <c r="AM83" s="96">
        <f t="shared" si="134"/>
        <v>0</v>
      </c>
    </row>
    <row r="84" spans="1:39" s="90" customFormat="1" ht="15" x14ac:dyDescent="0.25">
      <c r="A84" s="98" t="s">
        <v>172</v>
      </c>
      <c r="B84" s="122">
        <f t="shared" ref="B84" si="135">IFERROR(+B52*1000/B24,0)</f>
        <v>7727.0255968819429</v>
      </c>
      <c r="C84" s="122">
        <f t="shared" ref="C84:AE84" si="136">IFERROR(+C52*1000/C24,0)</f>
        <v>9416.1003860225574</v>
      </c>
      <c r="D84" s="122">
        <f t="shared" si="136"/>
        <v>9373.9353048180983</v>
      </c>
      <c r="E84" s="122">
        <f t="shared" si="136"/>
        <v>9350.2601219735643</v>
      </c>
      <c r="F84" s="122">
        <f t="shared" si="136"/>
        <v>12027.16269505888</v>
      </c>
      <c r="G84" s="122">
        <f t="shared" si="136"/>
        <v>12012.050717429327</v>
      </c>
      <c r="H84" s="122">
        <f t="shared" si="136"/>
        <v>12000.338093375602</v>
      </c>
      <c r="I84" s="122">
        <f t="shared" si="136"/>
        <v>14243.527664501586</v>
      </c>
      <c r="J84" s="122">
        <f t="shared" si="136"/>
        <v>14242.819817323587</v>
      </c>
      <c r="K84" s="122">
        <f t="shared" si="136"/>
        <v>14199.696910567791</v>
      </c>
      <c r="L84" s="122">
        <f t="shared" si="136"/>
        <v>14245.857604853689</v>
      </c>
      <c r="M84" s="122">
        <f t="shared" si="136"/>
        <v>14245.100202443209</v>
      </c>
      <c r="N84" s="122">
        <f t="shared" si="136"/>
        <v>14205.699423236403</v>
      </c>
      <c r="O84" s="122">
        <f t="shared" si="136"/>
        <v>49875.374356514498</v>
      </c>
      <c r="P84" s="122">
        <f t="shared" si="136"/>
        <v>49806.46288692957</v>
      </c>
      <c r="Q84" s="122">
        <f t="shared" si="136"/>
        <v>49780.002085457134</v>
      </c>
      <c r="R84" s="122">
        <f t="shared" si="136"/>
        <v>49394.705917804094</v>
      </c>
      <c r="S84" s="122">
        <f t="shared" si="136"/>
        <v>66859.735962136736</v>
      </c>
      <c r="T84" s="122">
        <f t="shared" si="136"/>
        <v>66437.842587913517</v>
      </c>
      <c r="U84" s="122">
        <f t="shared" si="136"/>
        <v>69302.252111098307</v>
      </c>
      <c r="V84" s="122">
        <f t="shared" si="136"/>
        <v>73464.487455104303</v>
      </c>
      <c r="W84" s="122">
        <f t="shared" si="136"/>
        <v>75783.771381885177</v>
      </c>
      <c r="X84" s="122">
        <f t="shared" si="136"/>
        <v>75707.528230221636</v>
      </c>
      <c r="Y84" s="122">
        <f t="shared" si="136"/>
        <v>75749.906757072808</v>
      </c>
      <c r="Z84" s="122">
        <f t="shared" si="136"/>
        <v>75220.023467064486</v>
      </c>
      <c r="AA84" s="122">
        <f t="shared" si="136"/>
        <v>77016.447721430144</v>
      </c>
      <c r="AB84" s="122">
        <f t="shared" si="136"/>
        <v>79933.388131821674</v>
      </c>
      <c r="AC84" s="122">
        <f t="shared" si="136"/>
        <v>76793.016943860712</v>
      </c>
      <c r="AD84" s="122">
        <f t="shared" si="136"/>
        <v>79800.149859065728</v>
      </c>
      <c r="AE84" s="122">
        <f t="shared" si="136"/>
        <v>81114.21039851004</v>
      </c>
      <c r="AF84" s="122">
        <f t="shared" ref="AF84:AL84" si="137">IFERROR(+AF52*1000/AF24,0)</f>
        <v>82225.238759463013</v>
      </c>
      <c r="AG84" s="122">
        <f t="shared" si="137"/>
        <v>82071.544567396224</v>
      </c>
      <c r="AH84" s="122">
        <f t="shared" si="137"/>
        <v>83208.93376034942</v>
      </c>
      <c r="AI84" s="122">
        <f t="shared" si="137"/>
        <v>82785.888278784972</v>
      </c>
      <c r="AJ84" s="122">
        <f t="shared" si="137"/>
        <v>87288.591258043947</v>
      </c>
      <c r="AK84" s="122">
        <f t="shared" si="137"/>
        <v>80250.068307041918</v>
      </c>
      <c r="AL84" s="122">
        <f t="shared" si="137"/>
        <v>80137.826839511865</v>
      </c>
      <c r="AM84" s="122">
        <f t="shared" ref="AM84" si="138">IFERROR(+AM52*1000/AM24,0)</f>
        <v>91091.786041918676</v>
      </c>
    </row>
    <row r="85" spans="1:39" s="90" customFormat="1" ht="15" x14ac:dyDescent="0.25">
      <c r="A85" s="95" t="s">
        <v>173</v>
      </c>
      <c r="B85" s="96">
        <f t="shared" ref="B85" si="139">IFERROR(+B53*1000/B25,0)</f>
        <v>7846.6835455906539</v>
      </c>
      <c r="C85" s="96">
        <f t="shared" ref="C85:AE85" si="140">IFERROR(+C53*1000/C25,0)</f>
        <v>10087.282538114934</v>
      </c>
      <c r="D85" s="96">
        <f t="shared" si="140"/>
        <v>10064.154880406861</v>
      </c>
      <c r="E85" s="96">
        <f t="shared" si="140"/>
        <v>10058.269598725876</v>
      </c>
      <c r="F85" s="96">
        <f t="shared" si="140"/>
        <v>13605.101510531096</v>
      </c>
      <c r="G85" s="96">
        <f t="shared" si="140"/>
        <v>13600.209850888696</v>
      </c>
      <c r="H85" s="96">
        <f t="shared" si="140"/>
        <v>13593.817303285809</v>
      </c>
      <c r="I85" s="96">
        <f t="shared" si="140"/>
        <v>15853.508227141589</v>
      </c>
      <c r="J85" s="96">
        <f t="shared" si="140"/>
        <v>15871.974904203666</v>
      </c>
      <c r="K85" s="96">
        <f t="shared" si="140"/>
        <v>15859.723271804307</v>
      </c>
      <c r="L85" s="96">
        <f t="shared" si="140"/>
        <v>15895.285566276099</v>
      </c>
      <c r="M85" s="96">
        <f t="shared" si="140"/>
        <v>15886.232687466747</v>
      </c>
      <c r="N85" s="96">
        <f t="shared" si="140"/>
        <v>15875.890761767603</v>
      </c>
      <c r="O85" s="96">
        <f t="shared" si="140"/>
        <v>50122.977164439006</v>
      </c>
      <c r="P85" s="96">
        <f t="shared" si="140"/>
        <v>50042.229793493163</v>
      </c>
      <c r="Q85" s="96">
        <f t="shared" si="140"/>
        <v>49817.600718677175</v>
      </c>
      <c r="R85" s="96">
        <f t="shared" si="140"/>
        <v>49350.099819098439</v>
      </c>
      <c r="S85" s="96">
        <f t="shared" si="140"/>
        <v>66851.15180368397</v>
      </c>
      <c r="T85" s="96">
        <f t="shared" si="140"/>
        <v>66231.184184640195</v>
      </c>
      <c r="U85" s="96">
        <f t="shared" si="140"/>
        <v>69348.962822121423</v>
      </c>
      <c r="V85" s="96">
        <f t="shared" si="140"/>
        <v>73647.579182860689</v>
      </c>
      <c r="W85" s="96">
        <f t="shared" si="140"/>
        <v>76153.634487525691</v>
      </c>
      <c r="X85" s="96">
        <f t="shared" si="140"/>
        <v>76007.055348709662</v>
      </c>
      <c r="Y85" s="96">
        <f t="shared" si="140"/>
        <v>75993.389130382595</v>
      </c>
      <c r="Z85" s="96">
        <f t="shared" si="140"/>
        <v>75407.538324749316</v>
      </c>
      <c r="AA85" s="96">
        <f t="shared" si="140"/>
        <v>77242.110925623347</v>
      </c>
      <c r="AB85" s="96">
        <f t="shared" si="140"/>
        <v>80584.338867131417</v>
      </c>
      <c r="AC85" s="96">
        <f t="shared" si="140"/>
        <v>76616.662454620382</v>
      </c>
      <c r="AD85" s="96">
        <f t="shared" si="140"/>
        <v>80286.530635740462</v>
      </c>
      <c r="AE85" s="96">
        <f t="shared" si="140"/>
        <v>81363.121899079924</v>
      </c>
      <c r="AF85" s="96">
        <f t="shared" ref="AF85" si="141">IFERROR(+AF53*1000/AF25,0)</f>
        <v>82286.263190206635</v>
      </c>
      <c r="AG85" s="96">
        <f t="shared" ref="AG85" si="142">IFERROR(+AG53*1000/AG25,0)</f>
        <v>82224.736251331153</v>
      </c>
      <c r="AH85" s="96">
        <f t="shared" ref="AH85" si="143">IFERROR(+AH53*1000/AH25,0)</f>
        <v>83573.634191342164</v>
      </c>
      <c r="AI85" s="96">
        <f t="shared" ref="AI85" si="144">IFERROR(+AI53*1000/AI25,0)</f>
        <v>83081.475258658334</v>
      </c>
      <c r="AJ85" s="96">
        <f t="shared" ref="AJ85:AK88" si="145">IFERROR(+AJ53*1000/AJ25,0)</f>
        <v>86334.882917952928</v>
      </c>
      <c r="AK85" s="96">
        <f t="shared" si="145"/>
        <v>78841.234619462251</v>
      </c>
      <c r="AL85" s="96">
        <f t="shared" ref="AL85:AM85" si="146">IFERROR(+AL53*1000/AL25,0)</f>
        <v>79303.145629010221</v>
      </c>
      <c r="AM85" s="96">
        <f t="shared" si="146"/>
        <v>0</v>
      </c>
    </row>
    <row r="86" spans="1:39" s="90" customFormat="1" ht="15" x14ac:dyDescent="0.25">
      <c r="A86" s="95" t="s">
        <v>174</v>
      </c>
      <c r="B86" s="96">
        <f t="shared" ref="B86" si="147">IFERROR(+B54*1000/B26,0)</f>
        <v>11883.05808044148</v>
      </c>
      <c r="C86" s="96">
        <f t="shared" ref="C86:AE86" si="148">IFERROR(+C54*1000/C26,0)</f>
        <v>14859.636279740283</v>
      </c>
      <c r="D86" s="96">
        <f t="shared" si="148"/>
        <v>14717.089742306176</v>
      </c>
      <c r="E86" s="96">
        <f t="shared" si="148"/>
        <v>14755.809577233134</v>
      </c>
      <c r="F86" s="96">
        <f t="shared" si="148"/>
        <v>22910.01992845826</v>
      </c>
      <c r="G86" s="96">
        <f t="shared" si="148"/>
        <v>22976.835172985298</v>
      </c>
      <c r="H86" s="96">
        <f t="shared" si="148"/>
        <v>22930.420613975799</v>
      </c>
      <c r="I86" s="96">
        <f t="shared" si="148"/>
        <v>22839.928526918338</v>
      </c>
      <c r="J86" s="96">
        <f t="shared" si="148"/>
        <v>22856.123524316594</v>
      </c>
      <c r="K86" s="96">
        <f t="shared" si="148"/>
        <v>22838.879587656178</v>
      </c>
      <c r="L86" s="96">
        <f t="shared" si="148"/>
        <v>20761.399943364311</v>
      </c>
      <c r="M86" s="96">
        <f t="shared" si="148"/>
        <v>20754.901806270846</v>
      </c>
      <c r="N86" s="96">
        <f t="shared" si="148"/>
        <v>20748.234579167362</v>
      </c>
      <c r="O86" s="96">
        <f t="shared" si="148"/>
        <v>50203.308409676523</v>
      </c>
      <c r="P86" s="96">
        <f t="shared" si="148"/>
        <v>50065.105528339824</v>
      </c>
      <c r="Q86" s="96">
        <f t="shared" si="148"/>
        <v>49844.035815236974</v>
      </c>
      <c r="R86" s="96">
        <f t="shared" si="148"/>
        <v>49439.890036793484</v>
      </c>
      <c r="S86" s="96">
        <f t="shared" si="148"/>
        <v>66615.619874722557</v>
      </c>
      <c r="T86" s="96">
        <f t="shared" si="148"/>
        <v>66176.410902388438</v>
      </c>
      <c r="U86" s="96">
        <f t="shared" si="148"/>
        <v>69187.667657563317</v>
      </c>
      <c r="V86" s="96">
        <f t="shared" si="148"/>
        <v>73212.117049258348</v>
      </c>
      <c r="W86" s="96">
        <f t="shared" si="148"/>
        <v>75539.647463636487</v>
      </c>
      <c r="X86" s="96">
        <f t="shared" si="148"/>
        <v>75364.999914518194</v>
      </c>
      <c r="Y86" s="96">
        <f t="shared" si="148"/>
        <v>75441.031828012055</v>
      </c>
      <c r="Z86" s="96">
        <f t="shared" si="148"/>
        <v>74948.862620999207</v>
      </c>
      <c r="AA86" s="96">
        <f t="shared" si="148"/>
        <v>77075.110705200874</v>
      </c>
      <c r="AB86" s="96">
        <f t="shared" si="148"/>
        <v>80016.021468804873</v>
      </c>
      <c r="AC86" s="96">
        <f t="shared" si="148"/>
        <v>76494.165664890985</v>
      </c>
      <c r="AD86" s="96">
        <f t="shared" si="148"/>
        <v>79682.240166253774</v>
      </c>
      <c r="AE86" s="96">
        <f t="shared" si="148"/>
        <v>80962.586054578715</v>
      </c>
      <c r="AF86" s="96">
        <f t="shared" ref="AF86" si="149">IFERROR(+AF54*1000/AF26,0)</f>
        <v>82142.07655377232</v>
      </c>
      <c r="AG86" s="96">
        <f t="shared" ref="AG86" si="150">IFERROR(+AG54*1000/AG26,0)</f>
        <v>81778.678473389155</v>
      </c>
      <c r="AH86" s="96">
        <f t="shared" ref="AH86" si="151">IFERROR(+AH54*1000/AH26,0)</f>
        <v>82965.117387537233</v>
      </c>
      <c r="AI86" s="96">
        <f t="shared" ref="AI86" si="152">IFERROR(+AI54*1000/AI26,0)</f>
        <v>82353.289734379636</v>
      </c>
      <c r="AJ86" s="96">
        <f t="shared" si="145"/>
        <v>85147.078554869979</v>
      </c>
      <c r="AK86" s="96">
        <f t="shared" si="145"/>
        <v>77887.08828680616</v>
      </c>
      <c r="AL86" s="96">
        <f t="shared" ref="AL86:AM86" si="153">IFERROR(+AL54*1000/AL26,0)</f>
        <v>77785.843309521937</v>
      </c>
      <c r="AM86" s="96">
        <f t="shared" si="153"/>
        <v>88330.486115674576</v>
      </c>
    </row>
    <row r="87" spans="1:39" s="90" customFormat="1" ht="15" x14ac:dyDescent="0.25">
      <c r="A87" s="98" t="s">
        <v>175</v>
      </c>
      <c r="B87" s="122">
        <f t="shared" ref="B87" si="154">IFERROR(+B55*1000/B27,0)</f>
        <v>11711.384531331907</v>
      </c>
      <c r="C87" s="122">
        <f t="shared" ref="C87:AE87" si="155">IFERROR(+C55*1000/C27,0)</f>
        <v>14651.506991783726</v>
      </c>
      <c r="D87" s="122">
        <f t="shared" si="155"/>
        <v>14512.827568715891</v>
      </c>
      <c r="E87" s="122">
        <f t="shared" si="155"/>
        <v>14603.154471442127</v>
      </c>
      <c r="F87" s="122">
        <f t="shared" si="155"/>
        <v>22630.456923993603</v>
      </c>
      <c r="G87" s="122">
        <f t="shared" si="155"/>
        <v>22672.794687657319</v>
      </c>
      <c r="H87" s="122">
        <f t="shared" si="155"/>
        <v>22614.770377041867</v>
      </c>
      <c r="I87" s="122">
        <f t="shared" si="155"/>
        <v>22611.682468411709</v>
      </c>
      <c r="J87" s="122">
        <f t="shared" si="155"/>
        <v>22626.700139017834</v>
      </c>
      <c r="K87" s="122">
        <f t="shared" si="155"/>
        <v>22607.306490121016</v>
      </c>
      <c r="L87" s="122">
        <f t="shared" si="155"/>
        <v>20583.08549271863</v>
      </c>
      <c r="M87" s="122">
        <f t="shared" si="155"/>
        <v>20551.723920760309</v>
      </c>
      <c r="N87" s="122">
        <f t="shared" si="155"/>
        <v>20537.411992368063</v>
      </c>
      <c r="O87" s="122">
        <f t="shared" si="155"/>
        <v>50199.734100989299</v>
      </c>
      <c r="P87" s="122">
        <f t="shared" si="155"/>
        <v>50064.133830579834</v>
      </c>
      <c r="Q87" s="122">
        <f t="shared" si="155"/>
        <v>49843.138333927207</v>
      </c>
      <c r="R87" s="122">
        <f t="shared" si="155"/>
        <v>49436.819701950189</v>
      </c>
      <c r="S87" s="122">
        <f t="shared" si="155"/>
        <v>66623.810862452709</v>
      </c>
      <c r="T87" s="122">
        <f t="shared" si="155"/>
        <v>66178.408638217807</v>
      </c>
      <c r="U87" s="122">
        <f t="shared" si="155"/>
        <v>69193.497677410123</v>
      </c>
      <c r="V87" s="122">
        <f t="shared" si="155"/>
        <v>73226.673429918446</v>
      </c>
      <c r="W87" s="122">
        <f t="shared" si="155"/>
        <v>75560.433764550879</v>
      </c>
      <c r="X87" s="122">
        <f t="shared" si="155"/>
        <v>75389.921108215669</v>
      </c>
      <c r="Y87" s="122">
        <f t="shared" si="155"/>
        <v>75463.261494030274</v>
      </c>
      <c r="Z87" s="122">
        <f t="shared" si="155"/>
        <v>74969.66790650347</v>
      </c>
      <c r="AA87" s="122">
        <f t="shared" si="155"/>
        <v>77082.865682216143</v>
      </c>
      <c r="AB87" s="122">
        <f t="shared" si="155"/>
        <v>80039.755018019845</v>
      </c>
      <c r="AC87" s="122">
        <f t="shared" si="155"/>
        <v>76498.18672975713</v>
      </c>
      <c r="AD87" s="122">
        <f t="shared" si="155"/>
        <v>79703.099452018781</v>
      </c>
      <c r="AE87" s="122">
        <f t="shared" si="155"/>
        <v>80977.541601773832</v>
      </c>
      <c r="AF87" s="122">
        <f t="shared" ref="AF87" si="156">IFERROR(+AF55*1000/AF27,0)</f>
        <v>82147.753623928424</v>
      </c>
      <c r="AG87" s="122">
        <f t="shared" ref="AG87" si="157">IFERROR(+AG55*1000/AG27,0)</f>
        <v>81795.352732318279</v>
      </c>
      <c r="AH87" s="122">
        <f t="shared" ref="AH87" si="158">IFERROR(+AH55*1000/AH27,0)</f>
        <v>82985.253485013905</v>
      </c>
      <c r="AI87" s="122">
        <f t="shared" ref="AI87" si="159">IFERROR(+AI55*1000/AI27,0)</f>
        <v>82377.478873744956</v>
      </c>
      <c r="AJ87" s="122">
        <f t="shared" si="145"/>
        <v>85187.956723276351</v>
      </c>
      <c r="AK87" s="122">
        <f t="shared" si="145"/>
        <v>77925.450438174972</v>
      </c>
      <c r="AL87" s="122">
        <f t="shared" ref="AL87:AM87" si="160">IFERROR(+AL55*1000/AL27,0)</f>
        <v>77857.216111143527</v>
      </c>
      <c r="AM87" s="122">
        <f t="shared" si="160"/>
        <v>88330.486115674576</v>
      </c>
    </row>
    <row r="88" spans="1:39" s="90" customFormat="1" ht="15" x14ac:dyDescent="0.25">
      <c r="A88" s="101" t="s">
        <v>176</v>
      </c>
      <c r="B88" s="102">
        <f t="shared" ref="B88" si="161">IFERROR(+B56*1000/B28,0)</f>
        <v>6116.1393985131817</v>
      </c>
      <c r="C88" s="102">
        <f t="shared" ref="C88:AE88" si="162">IFERROR(+C56*1000/C28,0)</f>
        <v>7615.9508100322564</v>
      </c>
      <c r="D88" s="102">
        <f t="shared" si="162"/>
        <v>7455.4405016511746</v>
      </c>
      <c r="E88" s="102">
        <f t="shared" si="162"/>
        <v>8048.9401525653811</v>
      </c>
      <c r="F88" s="102">
        <f t="shared" si="162"/>
        <v>11384.773450541339</v>
      </c>
      <c r="G88" s="102">
        <f t="shared" si="162"/>
        <v>10669.224088627117</v>
      </c>
      <c r="H88" s="102">
        <f t="shared" si="162"/>
        <v>10564.423065578472</v>
      </c>
      <c r="I88" s="102">
        <f t="shared" si="162"/>
        <v>11806.835154030576</v>
      </c>
      <c r="J88" s="102">
        <f t="shared" si="162"/>
        <v>11921.601483001996</v>
      </c>
      <c r="K88" s="102">
        <f t="shared" si="162"/>
        <v>12125.328611084116</v>
      </c>
      <c r="L88" s="102">
        <f t="shared" si="162"/>
        <v>11410.573660525481</v>
      </c>
      <c r="M88" s="102">
        <f t="shared" si="162"/>
        <v>11183.567376118421</v>
      </c>
      <c r="N88" s="102">
        <f t="shared" si="162"/>
        <v>11133.792685030388</v>
      </c>
      <c r="O88" s="102">
        <f t="shared" si="162"/>
        <v>31457.424975561436</v>
      </c>
      <c r="P88" s="102">
        <f t="shared" si="162"/>
        <v>32724.786972233749</v>
      </c>
      <c r="Q88" s="102">
        <f t="shared" si="162"/>
        <v>33650.204569359317</v>
      </c>
      <c r="R88" s="102">
        <f t="shared" si="162"/>
        <v>30010.98564603374</v>
      </c>
      <c r="S88" s="102">
        <f t="shared" si="162"/>
        <v>50587.847105433662</v>
      </c>
      <c r="T88" s="102">
        <f t="shared" si="162"/>
        <v>49083.245175525932</v>
      </c>
      <c r="U88" s="102">
        <f t="shared" si="162"/>
        <v>52572.19862052166</v>
      </c>
      <c r="V88" s="102">
        <f t="shared" si="162"/>
        <v>57809.082172239083</v>
      </c>
      <c r="W88" s="102">
        <f t="shared" si="162"/>
        <v>59817.57991374172</v>
      </c>
      <c r="X88" s="102">
        <f t="shared" si="162"/>
        <v>59876.938582485884</v>
      </c>
      <c r="Y88" s="102">
        <f t="shared" si="162"/>
        <v>60409.729259219814</v>
      </c>
      <c r="Z88" s="102">
        <f t="shared" si="162"/>
        <v>59184.999710714976</v>
      </c>
      <c r="AA88" s="102">
        <f t="shared" si="162"/>
        <v>62003.604529012409</v>
      </c>
      <c r="AB88" s="102">
        <f t="shared" si="162"/>
        <v>65692.616904722308</v>
      </c>
      <c r="AC88" s="102">
        <f t="shared" si="162"/>
        <v>63439.645631102037</v>
      </c>
      <c r="AD88" s="102">
        <f t="shared" si="162"/>
        <v>64004.657170571605</v>
      </c>
      <c r="AE88" s="102">
        <f t="shared" si="162"/>
        <v>62140.978446694229</v>
      </c>
      <c r="AF88" s="102">
        <f t="shared" ref="AF88:AI88" si="163">IFERROR(+AF56*1000/AF28,0)</f>
        <v>64064.450993484861</v>
      </c>
      <c r="AG88" s="102">
        <f t="shared" si="163"/>
        <v>65537.320982544523</v>
      </c>
      <c r="AH88" s="102">
        <f t="shared" si="163"/>
        <v>68381.307223907861</v>
      </c>
      <c r="AI88" s="102">
        <f t="shared" si="163"/>
        <v>68267.321618590344</v>
      </c>
      <c r="AJ88" s="102">
        <f t="shared" si="145"/>
        <v>73753.711078073728</v>
      </c>
      <c r="AK88" s="102">
        <f t="shared" si="145"/>
        <v>67544.364613920261</v>
      </c>
      <c r="AL88" s="102">
        <f t="shared" ref="AL88:AM88" si="164">IFERROR(+AL56*1000/AL28,0)</f>
        <v>68290.599219676587</v>
      </c>
      <c r="AM88" s="102">
        <f t="shared" si="164"/>
        <v>78100.791095143315</v>
      </c>
    </row>
    <row r="89" spans="1:39" s="90" customFormat="1" ht="15" x14ac:dyDescent="0.25">
      <c r="A89" s="105" t="s">
        <v>178</v>
      </c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>
        <f t="shared" ref="O89:AE89" si="165">IFERROR(+O57*1000/O26,0)</f>
        <v>-905.287239117902</v>
      </c>
      <c r="P89" s="96">
        <f t="shared" si="165"/>
        <v>-35.874622904151593</v>
      </c>
      <c r="Q89" s="96">
        <f t="shared" si="165"/>
        <v>5905.8357348332402</v>
      </c>
      <c r="R89" s="96">
        <f t="shared" si="165"/>
        <v>20732.285656852619</v>
      </c>
      <c r="S89" s="96">
        <f t="shared" si="165"/>
        <v>15703.906952865082</v>
      </c>
      <c r="T89" s="96">
        <f t="shared" si="165"/>
        <v>17983.478863472166</v>
      </c>
      <c r="U89" s="96">
        <f t="shared" si="165"/>
        <v>13977.361751823741</v>
      </c>
      <c r="V89" s="96">
        <f t="shared" si="165"/>
        <v>5983.0288559037408</v>
      </c>
      <c r="W89" s="96">
        <f t="shared" si="165"/>
        <v>-5584.6774103697617</v>
      </c>
      <c r="X89" s="96">
        <f t="shared" si="165"/>
        <v>-7092.772120132784</v>
      </c>
      <c r="Y89" s="96">
        <f t="shared" si="165"/>
        <v>-7841.0458898505567</v>
      </c>
      <c r="Z89" s="96">
        <f t="shared" si="165"/>
        <v>-4393.79573481852</v>
      </c>
      <c r="AA89" s="96">
        <f t="shared" si="165"/>
        <v>-4583.6233981624391</v>
      </c>
      <c r="AB89" s="96">
        <f t="shared" si="165"/>
        <v>-5514.0962725276022</v>
      </c>
      <c r="AC89" s="96">
        <f t="shared" si="165"/>
        <v>1988.4934349776436</v>
      </c>
      <c r="AD89" s="96">
        <f t="shared" si="165"/>
        <v>10196.08991888633</v>
      </c>
      <c r="AE89" s="96">
        <f t="shared" si="165"/>
        <v>25930.316894418927</v>
      </c>
      <c r="AF89" s="96">
        <f t="shared" ref="AF89" si="166">IFERROR(+AF57*1000/AF26,0)</f>
        <v>39900.141903904805</v>
      </c>
      <c r="AG89" s="96">
        <f t="shared" ref="AG89" si="167">IFERROR(+AG57*1000/AG26,0)</f>
        <v>32755.052288445127</v>
      </c>
      <c r="AH89" s="96">
        <f t="shared" ref="AH89" si="168">IFERROR(+AH57*1000/AH26,0)</f>
        <v>18001.931793347529</v>
      </c>
      <c r="AI89" s="96">
        <f t="shared" ref="AI89" si="169">IFERROR(+AI57*1000/AI26,0)</f>
        <v>12655.627317805844</v>
      </c>
      <c r="AJ89" s="96">
        <f t="shared" ref="AJ89" si="170">IFERROR(+AJ57*1000/AJ26,0)</f>
        <v>3206.9665130821418</v>
      </c>
      <c r="AK89" s="96">
        <f t="shared" ref="AK89:AL89" si="171">IFERROR(+AK57*1000/AK26,0)</f>
        <v>10504.196403599526</v>
      </c>
      <c r="AL89" s="96">
        <f t="shared" si="171"/>
        <v>16533.390567181148</v>
      </c>
      <c r="AM89" s="96">
        <f t="shared" ref="AM89" si="172">IFERROR(+AM57*1000/AM26,0)</f>
        <v>3664.4413476265745</v>
      </c>
    </row>
    <row r="90" spans="1:39" s="90" customFormat="1" ht="15" x14ac:dyDescent="0.25">
      <c r="A90" s="107" t="s">
        <v>179</v>
      </c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>
        <f t="shared" ref="O90:AE90" si="173">IFERROR(+O58*1000/O26,0)</f>
        <v>49298.021170558626</v>
      </c>
      <c r="P90" s="109">
        <f t="shared" si="173"/>
        <v>50029.230905435674</v>
      </c>
      <c r="Q90" s="109">
        <f t="shared" si="173"/>
        <v>55749.871550070209</v>
      </c>
      <c r="R90" s="109">
        <f t="shared" si="173"/>
        <v>70172.175693646102</v>
      </c>
      <c r="S90" s="109">
        <f t="shared" si="173"/>
        <v>82319.526827587644</v>
      </c>
      <c r="T90" s="109">
        <f t="shared" si="173"/>
        <v>84159.889765860629</v>
      </c>
      <c r="U90" s="109">
        <f t="shared" si="173"/>
        <v>83165.029409387047</v>
      </c>
      <c r="V90" s="109">
        <f t="shared" si="173"/>
        <v>79195.145905162077</v>
      </c>
      <c r="W90" s="109">
        <f t="shared" si="173"/>
        <v>69954.970053266748</v>
      </c>
      <c r="X90" s="109">
        <f t="shared" si="173"/>
        <v>68272.227794385413</v>
      </c>
      <c r="Y90" s="109">
        <f t="shared" si="173"/>
        <v>67599.98593816151</v>
      </c>
      <c r="Z90" s="109">
        <f t="shared" si="173"/>
        <v>70555.066886180692</v>
      </c>
      <c r="AA90" s="109">
        <f t="shared" si="173"/>
        <v>72491.487307038435</v>
      </c>
      <c r="AB90" s="109">
        <f t="shared" si="173"/>
        <v>74501.925196277269</v>
      </c>
      <c r="AC90" s="109">
        <f t="shared" si="173"/>
        <v>78482.65909986863</v>
      </c>
      <c r="AD90" s="109">
        <f t="shared" si="173"/>
        <v>89878.3300851401</v>
      </c>
      <c r="AE90" s="109">
        <f t="shared" si="173"/>
        <v>106892.90294899764</v>
      </c>
      <c r="AF90" s="109">
        <f t="shared" ref="AF90:AL92" si="174">IFERROR(+AF58*1000/AF26,0)</f>
        <v>122042.21845767713</v>
      </c>
      <c r="AG90" s="109">
        <f t="shared" si="174"/>
        <v>114533.73076183427</v>
      </c>
      <c r="AH90" s="109">
        <f t="shared" si="174"/>
        <v>100967.04918088476</v>
      </c>
      <c r="AI90" s="109">
        <f t="shared" si="174"/>
        <v>95008.917052185483</v>
      </c>
      <c r="AJ90" s="109">
        <f t="shared" si="174"/>
        <v>88354.045067952116</v>
      </c>
      <c r="AK90" s="109">
        <f t="shared" si="174"/>
        <v>88391.284690405693</v>
      </c>
      <c r="AL90" s="109">
        <f t="shared" si="174"/>
        <v>94319.233876703074</v>
      </c>
      <c r="AM90" s="109">
        <f t="shared" ref="AM90" si="175">IFERROR(+AM58*1000/AM26,0)</f>
        <v>91994.927463301166</v>
      </c>
    </row>
    <row r="91" spans="1:39" s="90" customFormat="1" ht="15" x14ac:dyDescent="0.25">
      <c r="A91" s="98" t="s">
        <v>180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>
        <f t="shared" ref="O91:AE91" si="176">IFERROR(+O59*1000/O27,0)</f>
        <v>49334.727278708451</v>
      </c>
      <c r="P91" s="99">
        <f t="shared" si="176"/>
        <v>50029.783062142007</v>
      </c>
      <c r="Q91" s="99">
        <f t="shared" si="176"/>
        <v>55548.468760274976</v>
      </c>
      <c r="R91" s="99">
        <f t="shared" si="176"/>
        <v>69460.174467805133</v>
      </c>
      <c r="S91" s="99">
        <f t="shared" si="176"/>
        <v>81781.590121575355</v>
      </c>
      <c r="T91" s="99">
        <f t="shared" si="176"/>
        <v>83505.97939129117</v>
      </c>
      <c r="U91" s="99">
        <f t="shared" si="176"/>
        <v>82665.647158038686</v>
      </c>
      <c r="V91" s="99">
        <f t="shared" si="176"/>
        <v>79009.704998327841</v>
      </c>
      <c r="W91" s="99">
        <f t="shared" si="176"/>
        <v>70164.823517891506</v>
      </c>
      <c r="X91" s="99">
        <f t="shared" si="176"/>
        <v>68572.452861307684</v>
      </c>
      <c r="Y91" s="99">
        <f t="shared" si="176"/>
        <v>67937.779154470263</v>
      </c>
      <c r="Z91" s="99">
        <f t="shared" si="176"/>
        <v>70775.172404862475</v>
      </c>
      <c r="AA91" s="99">
        <f t="shared" si="176"/>
        <v>72712.091668380643</v>
      </c>
      <c r="AB91" s="99">
        <f t="shared" si="176"/>
        <v>74755.933369576436</v>
      </c>
      <c r="AC91" s="99">
        <f t="shared" si="176"/>
        <v>78421.406118732382</v>
      </c>
      <c r="AD91" s="99">
        <f t="shared" si="176"/>
        <v>89547.234203575557</v>
      </c>
      <c r="AE91" s="99">
        <f t="shared" si="176"/>
        <v>105939.65032350822</v>
      </c>
      <c r="AF91" s="99">
        <f t="shared" si="174"/>
        <v>120476.90455093714</v>
      </c>
      <c r="AG91" s="99">
        <f t="shared" si="174"/>
        <v>113325.97569769539</v>
      </c>
      <c r="AH91" s="99">
        <f t="shared" si="174"/>
        <v>100391.49317735009</v>
      </c>
      <c r="AI91" s="99">
        <f t="shared" si="174"/>
        <v>94612.706825264264</v>
      </c>
      <c r="AJ91" s="99">
        <f t="shared" si="174"/>
        <v>88284.555804422911</v>
      </c>
      <c r="AK91" s="99">
        <f t="shared" si="174"/>
        <v>88007.317940377368</v>
      </c>
      <c r="AL91" s="99">
        <f t="shared" si="174"/>
        <v>93612.887966682771</v>
      </c>
      <c r="AM91" s="99">
        <f t="shared" ref="AM91" si="177">IFERROR(+AM59*1000/AM27,0)</f>
        <v>91994.927463301166</v>
      </c>
    </row>
    <row r="92" spans="1:39" s="90" customFormat="1" ht="15" x14ac:dyDescent="0.25">
      <c r="A92" s="110" t="s">
        <v>181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>
        <f t="shared" ref="O92:AE92" si="178">IFERROR(+O60*1000/O28,0)</f>
        <v>31366.087407107574</v>
      </c>
      <c r="P92" s="112">
        <f t="shared" si="178"/>
        <v>32720.862351767766</v>
      </c>
      <c r="Q92" s="112">
        <f t="shared" si="178"/>
        <v>34356.731898686645</v>
      </c>
      <c r="R92" s="112">
        <f t="shared" si="178"/>
        <v>32118.382461999048</v>
      </c>
      <c r="S92" s="112">
        <f t="shared" si="178"/>
        <v>52231.411232433267</v>
      </c>
      <c r="T92" s="112">
        <f t="shared" si="178"/>
        <v>50769.798362340363</v>
      </c>
      <c r="U92" s="112">
        <f t="shared" si="178"/>
        <v>53980.065093906</v>
      </c>
      <c r="V92" s="112">
        <f t="shared" si="178"/>
        <v>58510.875812962709</v>
      </c>
      <c r="W92" s="112">
        <f t="shared" si="178"/>
        <v>59157.063463481543</v>
      </c>
      <c r="X92" s="112">
        <f t="shared" si="178"/>
        <v>59075.743470569352</v>
      </c>
      <c r="Y92" s="112">
        <f t="shared" si="178"/>
        <v>59566.776729942911</v>
      </c>
      <c r="Z92" s="112">
        <f t="shared" si="178"/>
        <v>58785.994735918444</v>
      </c>
      <c r="AA92" s="112">
        <f t="shared" si="178"/>
        <v>61551.464170730877</v>
      </c>
      <c r="AB92" s="112">
        <f t="shared" si="178"/>
        <v>65091.855912052837</v>
      </c>
      <c r="AC92" s="112">
        <f t="shared" si="178"/>
        <v>63680.796447509987</v>
      </c>
      <c r="AD92" s="112">
        <f t="shared" si="178"/>
        <v>65121.147527351415</v>
      </c>
      <c r="AE92" s="112">
        <f t="shared" si="178"/>
        <v>64466.773190004104</v>
      </c>
      <c r="AF92" s="112">
        <f t="shared" si="174"/>
        <v>67708.9905833784</v>
      </c>
      <c r="AG92" s="112">
        <f t="shared" si="174"/>
        <v>68819.284117705742</v>
      </c>
      <c r="AH92" s="112">
        <f t="shared" si="174"/>
        <v>70358.835703681965</v>
      </c>
      <c r="AI92" s="112">
        <f t="shared" si="174"/>
        <v>69686.090504494859</v>
      </c>
      <c r="AJ92" s="112">
        <f t="shared" si="174"/>
        <v>74090.583244659952</v>
      </c>
      <c r="AK92" s="112">
        <f t="shared" si="174"/>
        <v>68455.915089152681</v>
      </c>
      <c r="AL92" s="112">
        <f t="shared" si="174"/>
        <v>69743.336036391804</v>
      </c>
      <c r="AM92" s="112">
        <f t="shared" ref="AM92" si="179">IFERROR(+AM60*1000/AM28,0)</f>
        <v>78464.70483783356</v>
      </c>
    </row>
    <row r="98" spans="1:25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7" spans="1:25" x14ac:dyDescent="0.2">
      <c r="A157" s="114"/>
    </row>
    <row r="158" spans="1:25" x14ac:dyDescent="0.2">
      <c r="A158" s="114"/>
    </row>
    <row r="159" spans="1:25" x14ac:dyDescent="0.2">
      <c r="A159" s="114"/>
    </row>
    <row r="160" spans="1:25" x14ac:dyDescent="0.2">
      <c r="A160" s="114"/>
    </row>
    <row r="161" spans="1:1" x14ac:dyDescent="0.2">
      <c r="A161" s="114"/>
    </row>
    <row r="162" spans="1:1" x14ac:dyDescent="0.2">
      <c r="A162" s="114"/>
    </row>
    <row r="163" spans="1:1" x14ac:dyDescent="0.2">
      <c r="A163" s="114"/>
    </row>
    <row r="164" spans="1:1" x14ac:dyDescent="0.2">
      <c r="A164" s="114"/>
    </row>
    <row r="165" spans="1:1" x14ac:dyDescent="0.2">
      <c r="A165" s="114"/>
    </row>
    <row r="166" spans="1:1" x14ac:dyDescent="0.2">
      <c r="A166" s="114"/>
    </row>
    <row r="167" spans="1:1" x14ac:dyDescent="0.2">
      <c r="A167" s="114"/>
    </row>
    <row r="168" spans="1:1" x14ac:dyDescent="0.2">
      <c r="A168" s="114"/>
    </row>
    <row r="169" spans="1:1" x14ac:dyDescent="0.2">
      <c r="A169" s="114"/>
    </row>
    <row r="170" spans="1:1" x14ac:dyDescent="0.2">
      <c r="A170" s="114"/>
    </row>
    <row r="171" spans="1:1" x14ac:dyDescent="0.2">
      <c r="A171" s="114"/>
    </row>
    <row r="172" spans="1:1" x14ac:dyDescent="0.2">
      <c r="A172" s="114"/>
    </row>
    <row r="173" spans="1:1" x14ac:dyDescent="0.2">
      <c r="A173" s="114"/>
    </row>
    <row r="174" spans="1:1" x14ac:dyDescent="0.2">
      <c r="A174" s="114"/>
    </row>
    <row r="175" spans="1:1" x14ac:dyDescent="0.2">
      <c r="A175" s="114"/>
    </row>
    <row r="176" spans="1:1" x14ac:dyDescent="0.2">
      <c r="A176" s="114"/>
    </row>
    <row r="177" spans="1:1" x14ac:dyDescent="0.2">
      <c r="A177" s="114"/>
    </row>
    <row r="178" spans="1:1" x14ac:dyDescent="0.2">
      <c r="A178" s="114"/>
    </row>
    <row r="179" spans="1:1" x14ac:dyDescent="0.2">
      <c r="A179" s="114"/>
    </row>
    <row r="180" spans="1:1" x14ac:dyDescent="0.2">
      <c r="A180" s="114"/>
    </row>
    <row r="181" spans="1:1" x14ac:dyDescent="0.2">
      <c r="A181" s="114"/>
    </row>
    <row r="182" spans="1:1" x14ac:dyDescent="0.2">
      <c r="A182" s="114"/>
    </row>
    <row r="183" spans="1:1" x14ac:dyDescent="0.2">
      <c r="A183" s="114"/>
    </row>
    <row r="184" spans="1:1" x14ac:dyDescent="0.2">
      <c r="A184" s="114"/>
    </row>
    <row r="185" spans="1:1" x14ac:dyDescent="0.2">
      <c r="A185" s="114"/>
    </row>
    <row r="186" spans="1:1" x14ac:dyDescent="0.2">
      <c r="A186" s="114"/>
    </row>
    <row r="187" spans="1:1" x14ac:dyDescent="0.2">
      <c r="A187" s="114"/>
    </row>
    <row r="188" spans="1:1" x14ac:dyDescent="0.2">
      <c r="A188" s="114"/>
    </row>
    <row r="189" spans="1:1" x14ac:dyDescent="0.2">
      <c r="A189" s="114"/>
    </row>
    <row r="190" spans="1:1" x14ac:dyDescent="0.2">
      <c r="A190" s="114"/>
    </row>
    <row r="191" spans="1:1" x14ac:dyDescent="0.2">
      <c r="A191" s="114"/>
    </row>
    <row r="192" spans="1:1" x14ac:dyDescent="0.2">
      <c r="A192" s="114"/>
    </row>
    <row r="193" spans="1:1" x14ac:dyDescent="0.2">
      <c r="A193" s="114"/>
    </row>
    <row r="194" spans="1:1" x14ac:dyDescent="0.2">
      <c r="A194" s="114"/>
    </row>
    <row r="195" spans="1:1" x14ac:dyDescent="0.2">
      <c r="A195" s="114"/>
    </row>
    <row r="196" spans="1:1" x14ac:dyDescent="0.2">
      <c r="A196" s="114"/>
    </row>
    <row r="197" spans="1:1" x14ac:dyDescent="0.2">
      <c r="A197" s="114"/>
    </row>
    <row r="198" spans="1:1" x14ac:dyDescent="0.2">
      <c r="A198" s="114"/>
    </row>
    <row r="199" spans="1:1" x14ac:dyDescent="0.2">
      <c r="A199" s="114"/>
    </row>
    <row r="200" spans="1:1" x14ac:dyDescent="0.2">
      <c r="A200" s="114"/>
    </row>
    <row r="201" spans="1:1" x14ac:dyDescent="0.2">
      <c r="A201" s="114"/>
    </row>
    <row r="202" spans="1:1" x14ac:dyDescent="0.2">
      <c r="A202" s="114"/>
    </row>
    <row r="203" spans="1:1" x14ac:dyDescent="0.2">
      <c r="A203" s="114"/>
    </row>
    <row r="204" spans="1:1" x14ac:dyDescent="0.2">
      <c r="A204" s="114"/>
    </row>
    <row r="205" spans="1:1" x14ac:dyDescent="0.2">
      <c r="A205" s="114"/>
    </row>
    <row r="206" spans="1:1" x14ac:dyDescent="0.2">
      <c r="A206" s="114"/>
    </row>
    <row r="207" spans="1:1" x14ac:dyDescent="0.2">
      <c r="A207" s="114"/>
    </row>
    <row r="208" spans="1:1" x14ac:dyDescent="0.2">
      <c r="A208" s="114"/>
    </row>
    <row r="209" spans="1:1" x14ac:dyDescent="0.2">
      <c r="A209" s="114"/>
    </row>
    <row r="210" spans="1:1" x14ac:dyDescent="0.2">
      <c r="A210" s="114"/>
    </row>
  </sheetData>
  <mergeCells count="54">
    <mergeCell ref="L6:L7"/>
    <mergeCell ref="M6:M7"/>
    <mergeCell ref="B6:B7"/>
    <mergeCell ref="C6:C7"/>
    <mergeCell ref="D6:D7"/>
    <mergeCell ref="E6:E7"/>
    <mergeCell ref="F6:F7"/>
    <mergeCell ref="G6:G7"/>
    <mergeCell ref="B20:B23"/>
    <mergeCell ref="H6:H7"/>
    <mergeCell ref="I6:I7"/>
    <mergeCell ref="J6:J7"/>
    <mergeCell ref="K6:K7"/>
    <mergeCell ref="N6:N7"/>
    <mergeCell ref="O6:O7"/>
    <mergeCell ref="P6:P7"/>
    <mergeCell ref="Q6:Q7"/>
    <mergeCell ref="R6:R7"/>
    <mergeCell ref="L34:L35"/>
    <mergeCell ref="M34:M35"/>
    <mergeCell ref="B34:B35"/>
    <mergeCell ref="C34:C35"/>
    <mergeCell ref="D34:D35"/>
    <mergeCell ref="E34:E35"/>
    <mergeCell ref="F34:F35"/>
    <mergeCell ref="G34:G35"/>
    <mergeCell ref="B48:B51"/>
    <mergeCell ref="H34:H35"/>
    <mergeCell ref="I34:I35"/>
    <mergeCell ref="J34:J35"/>
    <mergeCell ref="K34:K35"/>
    <mergeCell ref="N34:N35"/>
    <mergeCell ref="O34:O35"/>
    <mergeCell ref="P34:P35"/>
    <mergeCell ref="Q34:Q35"/>
    <mergeCell ref="R34:R35"/>
    <mergeCell ref="L66:L67"/>
    <mergeCell ref="M66:M67"/>
    <mergeCell ref="B66:B67"/>
    <mergeCell ref="C66:C67"/>
    <mergeCell ref="D66:D67"/>
    <mergeCell ref="E66:E67"/>
    <mergeCell ref="F66:F67"/>
    <mergeCell ref="G66:G67"/>
    <mergeCell ref="B80:B83"/>
    <mergeCell ref="H66:H67"/>
    <mergeCell ref="I66:I67"/>
    <mergeCell ref="J66:J67"/>
    <mergeCell ref="K66:K67"/>
    <mergeCell ref="N66:N67"/>
    <mergeCell ref="O66:O67"/>
    <mergeCell ref="P66:P67"/>
    <mergeCell ref="Q66:Q67"/>
    <mergeCell ref="R66:R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DED464-C098-43F4-9D71-C70AEA319180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79735e5c-8018-456a-845d-1b5efa834d1c"/>
  </ds:schemaRefs>
</ds:datastoreItem>
</file>

<file path=customXml/itemProps2.xml><?xml version="1.0" encoding="utf-8"?>
<ds:datastoreItem xmlns:ds="http://schemas.openxmlformats.org/officeDocument/2006/customXml" ds:itemID="{6B28C2B8-3FE8-445D-9BEE-AD3E29BB2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C0B0A9-2B2B-47AA-B27F-40E7E00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Aclaración</vt:lpstr>
      <vt:lpstr>Base de Datos</vt:lpstr>
      <vt:lpstr>Detalle Demanda Estacional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Baratto</dc:creator>
  <cp:lastModifiedBy>Micaela Baratto</cp:lastModifiedBy>
  <cp:lastPrinted>2026-03-11T19:30:08Z</cp:lastPrinted>
  <dcterms:created xsi:type="dcterms:W3CDTF">2025-12-26T19:35:46Z</dcterms:created>
  <dcterms:modified xsi:type="dcterms:W3CDTF">2026-03-20T18:27:08Z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